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EHS\USERS\SISTEMA DE GESTIÓN DE SEGURIDAD\Actual\Formatos\Editables\"/>
    </mc:Choice>
  </mc:AlternateContent>
  <xr:revisionPtr revIDLastSave="0" documentId="13_ncr:1_{F47FE88D-9A5F-4575-9961-5E71639A2892}" xr6:coauthVersionLast="47" xr6:coauthVersionMax="47" xr10:uidLastSave="{00000000-0000-0000-0000-000000000000}"/>
  <bookViews>
    <workbookView xWindow="20370" yWindow="-120" windowWidth="29040" windowHeight="15720" tabRatio="464" xr2:uid="{00000000-000D-0000-FFFF-FFFF00000000}"/>
  </bookViews>
  <sheets>
    <sheet name="JSA" sheetId="1" r:id="rId1"/>
    <sheet name="Hoja2" sheetId="2" state="hidden" r:id="rId2"/>
  </sheets>
  <definedNames>
    <definedName name="_xlnm.Print_Area" localSheetId="0">JSA!$A$1:$S$49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I10" i="1"/>
  <c r="J10" i="1" s="1"/>
  <c r="K10" i="1" s="1"/>
  <c r="G11" i="1"/>
  <c r="I11" i="1"/>
  <c r="G12" i="1"/>
  <c r="I12" i="1"/>
  <c r="G13" i="1"/>
  <c r="I13" i="1"/>
  <c r="G14" i="1"/>
  <c r="I14" i="1"/>
  <c r="J14" i="1" s="1"/>
  <c r="K14" i="1" s="1"/>
  <c r="G15" i="1"/>
  <c r="I15" i="1"/>
  <c r="G16" i="1"/>
  <c r="I16" i="1"/>
  <c r="G17" i="1"/>
  <c r="I17" i="1"/>
  <c r="G18" i="1"/>
  <c r="I18" i="1"/>
  <c r="J18" i="1" s="1"/>
  <c r="K18" i="1" s="1"/>
  <c r="G19" i="1"/>
  <c r="I19" i="1"/>
  <c r="G20" i="1"/>
  <c r="I20" i="1"/>
  <c r="G21" i="1"/>
  <c r="I21" i="1"/>
  <c r="G22" i="1"/>
  <c r="I22" i="1"/>
  <c r="J22" i="1" s="1"/>
  <c r="K22" i="1" s="1"/>
  <c r="G23" i="1"/>
  <c r="I23" i="1"/>
  <c r="G24" i="1"/>
  <c r="I24" i="1"/>
  <c r="G25" i="1"/>
  <c r="I25" i="1"/>
  <c r="I26" i="1"/>
  <c r="I27" i="1"/>
  <c r="G28" i="1"/>
  <c r="I28" i="1"/>
  <c r="N10" i="1"/>
  <c r="P10" i="1"/>
  <c r="N11" i="1"/>
  <c r="P11" i="1"/>
  <c r="N12" i="1"/>
  <c r="P12" i="1"/>
  <c r="N13" i="1"/>
  <c r="P13" i="1"/>
  <c r="Q13" i="1" s="1"/>
  <c r="R13" i="1" s="1"/>
  <c r="N14" i="1"/>
  <c r="P14" i="1"/>
  <c r="N15" i="1"/>
  <c r="P15" i="1"/>
  <c r="N16" i="1"/>
  <c r="P16" i="1"/>
  <c r="N17" i="1"/>
  <c r="P17" i="1"/>
  <c r="N18" i="1"/>
  <c r="P18" i="1"/>
  <c r="N19" i="1"/>
  <c r="P19" i="1"/>
  <c r="N20" i="1"/>
  <c r="P20" i="1"/>
  <c r="Q20" i="1" s="1"/>
  <c r="R20" i="1" s="1"/>
  <c r="N21" i="1"/>
  <c r="P21" i="1"/>
  <c r="N22" i="1"/>
  <c r="P22" i="1"/>
  <c r="N23" i="1"/>
  <c r="P23" i="1"/>
  <c r="N24" i="1"/>
  <c r="P24" i="1"/>
  <c r="N27" i="1"/>
  <c r="P27" i="1"/>
  <c r="N28" i="1"/>
  <c r="P28" i="1"/>
  <c r="G9" i="1"/>
  <c r="I9" i="1"/>
  <c r="Q11" i="1" l="1"/>
  <c r="R11" i="1" s="1"/>
  <c r="Q23" i="1"/>
  <c r="R23" i="1" s="1"/>
  <c r="Q19" i="1"/>
  <c r="R19" i="1" s="1"/>
  <c r="Q14" i="1"/>
  <c r="R14" i="1" s="1"/>
  <c r="Q27" i="1"/>
  <c r="R27" i="1" s="1"/>
  <c r="Q16" i="1"/>
  <c r="R16" i="1" s="1"/>
  <c r="Q12" i="1"/>
  <c r="R12" i="1" s="1"/>
  <c r="Q28" i="1"/>
  <c r="R28" i="1" s="1"/>
  <c r="Q22" i="1"/>
  <c r="R22" i="1" s="1"/>
  <c r="Q15" i="1"/>
  <c r="R15" i="1" s="1"/>
  <c r="J25" i="1"/>
  <c r="K25" i="1" s="1"/>
  <c r="J21" i="1"/>
  <c r="K21" i="1" s="1"/>
  <c r="J17" i="1"/>
  <c r="K17" i="1" s="1"/>
  <c r="J13" i="1"/>
  <c r="K13" i="1" s="1"/>
  <c r="Q17" i="1"/>
  <c r="R17" i="1" s="1"/>
  <c r="Q10" i="1"/>
  <c r="R10" i="1" s="1"/>
  <c r="J24" i="1"/>
  <c r="K24" i="1" s="1"/>
  <c r="J20" i="1"/>
  <c r="K20" i="1" s="1"/>
  <c r="J16" i="1"/>
  <c r="K16" i="1" s="1"/>
  <c r="J12" i="1"/>
  <c r="K12" i="1" s="1"/>
  <c r="J28" i="1"/>
  <c r="K28" i="1" s="1"/>
  <c r="J23" i="1"/>
  <c r="K23" i="1" s="1"/>
  <c r="J19" i="1"/>
  <c r="K19" i="1" s="1"/>
  <c r="J15" i="1"/>
  <c r="K15" i="1" s="1"/>
  <c r="J11" i="1"/>
  <c r="K11" i="1" s="1"/>
  <c r="J26" i="1"/>
  <c r="K26" i="1" s="1"/>
  <c r="J27" i="1"/>
  <c r="K27" i="1" s="1"/>
  <c r="Q24" i="1"/>
  <c r="R24" i="1" s="1"/>
  <c r="Q21" i="1"/>
  <c r="R21" i="1" s="1"/>
  <c r="Q18" i="1"/>
  <c r="R18" i="1" s="1"/>
  <c r="J9" i="1"/>
  <c r="K9" i="1" s="1"/>
  <c r="P9" i="1"/>
  <c r="N9" i="1"/>
  <c r="G6" i="2"/>
  <c r="G7" i="2"/>
  <c r="G8" i="2"/>
  <c r="G9" i="2"/>
  <c r="G5" i="2"/>
  <c r="F6" i="2"/>
  <c r="F7" i="2"/>
  <c r="F8" i="2"/>
  <c r="F9" i="2"/>
  <c r="F5" i="2"/>
  <c r="E5" i="2"/>
  <c r="E6" i="2"/>
  <c r="E7" i="2"/>
  <c r="E8" i="2"/>
  <c r="E9" i="2"/>
  <c r="D6" i="2"/>
  <c r="D7" i="2"/>
  <c r="D8" i="2"/>
  <c r="D9" i="2"/>
  <c r="D5" i="2"/>
  <c r="Q9" i="1" l="1"/>
  <c r="R9" i="1" s="1"/>
</calcChain>
</file>

<file path=xl/sharedStrings.xml><?xml version="1.0" encoding="utf-8"?>
<sst xmlns="http://schemas.openxmlformats.org/spreadsheetml/2006/main" count="76" uniqueCount="47">
  <si>
    <t>Severidad</t>
  </si>
  <si>
    <t>Probabilidad</t>
  </si>
  <si>
    <t>Categoría</t>
  </si>
  <si>
    <t>A</t>
  </si>
  <si>
    <t>B</t>
  </si>
  <si>
    <t>C</t>
  </si>
  <si>
    <t>D</t>
  </si>
  <si>
    <t>E</t>
  </si>
  <si>
    <t>FRECUENTE</t>
  </si>
  <si>
    <t>RECURRENTE</t>
  </si>
  <si>
    <t>OCASIONAL</t>
  </si>
  <si>
    <t>AISLADA</t>
  </si>
  <si>
    <t>REMOTA</t>
  </si>
  <si>
    <t>MENOR</t>
  </si>
  <si>
    <t>MODERADA</t>
  </si>
  <si>
    <t>CRITICA</t>
  </si>
  <si>
    <t>FATAL</t>
  </si>
  <si>
    <t>NOMBRE DEL TRABAJADOR</t>
  </si>
  <si>
    <t>FIRMA DEL TRABAJADOR</t>
  </si>
  <si>
    <r>
      <rPr>
        <b/>
        <sz val="11"/>
        <color theme="1"/>
        <rFont val="Calibri"/>
        <family val="2"/>
        <scheme val="minor"/>
      </rPr>
      <t>[C]</t>
    </r>
    <r>
      <rPr>
        <sz val="11"/>
        <color theme="1"/>
        <rFont val="Calibri"/>
        <family val="2"/>
        <scheme val="minor"/>
      </rPr>
      <t xml:space="preserve"> 
Medio</t>
    </r>
  </si>
  <si>
    <t>Compañía</t>
  </si>
  <si>
    <t>Actividad:</t>
  </si>
  <si>
    <t>Periodo:</t>
  </si>
  <si>
    <t>Horario:</t>
  </si>
  <si>
    <r>
      <rPr>
        <b/>
        <sz val="11"/>
        <color theme="1"/>
        <rFont val="Calibri"/>
        <family val="2"/>
        <scheme val="minor"/>
      </rPr>
      <t>[E]</t>
    </r>
    <r>
      <rPr>
        <sz val="11"/>
        <color theme="1"/>
        <rFont val="Calibri"/>
        <family val="2"/>
        <scheme val="minor"/>
      </rPr>
      <t xml:space="preserve">
Mínimo</t>
    </r>
  </si>
  <si>
    <r>
      <rPr>
        <b/>
        <sz val="11"/>
        <color theme="1"/>
        <rFont val="Calibri"/>
        <family val="2"/>
        <scheme val="minor"/>
      </rPr>
      <t xml:space="preserve">[D]
</t>
    </r>
    <r>
      <rPr>
        <sz val="11"/>
        <color theme="1"/>
        <rFont val="Calibri"/>
        <family val="2"/>
        <scheme val="minor"/>
      </rPr>
      <t xml:space="preserve"> Bajo</t>
    </r>
  </si>
  <si>
    <r>
      <rPr>
        <b/>
        <sz val="11"/>
        <color theme="1"/>
        <rFont val="Calibri"/>
        <family val="2"/>
        <scheme val="minor"/>
      </rPr>
      <t>[A]</t>
    </r>
    <r>
      <rPr>
        <sz val="11"/>
        <color theme="1"/>
        <rFont val="Calibri"/>
        <family val="2"/>
        <scheme val="minor"/>
      </rPr>
      <t xml:space="preserve"> 
Grave</t>
    </r>
  </si>
  <si>
    <r>
      <rPr>
        <b/>
        <sz val="11"/>
        <color theme="1"/>
        <rFont val="Calibri"/>
        <family val="2"/>
        <scheme val="minor"/>
      </rPr>
      <t>[B]</t>
    </r>
    <r>
      <rPr>
        <sz val="11"/>
        <color theme="1"/>
        <rFont val="Calibri"/>
        <family val="2"/>
        <scheme val="minor"/>
      </rPr>
      <t xml:space="preserve"> 
Elevado</t>
    </r>
  </si>
  <si>
    <t>Seguridad</t>
  </si>
  <si>
    <t>Ambiental</t>
  </si>
  <si>
    <t>Análisis de riesgos &amp; Aspectos Ambientales potenciales</t>
  </si>
  <si>
    <t>Nota :Todas las actividades que sean planeadas a través de este formato serán evaluadas por el departamento de Seguridad  &amp; Medio Ambiente, previo a la ejecución de estas tareas.</t>
  </si>
  <si>
    <t>Análisis de Riesgo para Trabajos Especiales (JSA)</t>
  </si>
  <si>
    <t xml:space="preserve">Descripción de las tareas a realizar
</t>
  </si>
  <si>
    <t>Evaluación de Riesgos Potenciales en Seguridad  e Identificación de Aspectos Ambiental</t>
  </si>
  <si>
    <t>Evaluacion de riesgos y Aspectos Ambientales  previa a actividad</t>
  </si>
  <si>
    <t>Medidas Preventivas &amp; Controles Operacionales</t>
  </si>
  <si>
    <t xml:space="preserve">Severidad del daño despues de medidas preventivas y controles operacionales </t>
  </si>
  <si>
    <t xml:space="preserve">Documentación Requerida
(Permisos especiales, Hojas de inspección, DC3, etc)
</t>
  </si>
  <si>
    <t>LISTE EL NOMBRE DE SU PERSONAL (TRABAJADORES QUE ESTARAN REALIZANDO LAS ACTIVIDADES PLANEADAS DESCRITAS</t>
  </si>
  <si>
    <t xml:space="preserve">1. Firma del Responsable de proyectos validación JSA 
(KTMEX) </t>
  </si>
  <si>
    <t>2. Firma de Gerente y/o Asistente de Área
(Área responsable de la actividad)</t>
  </si>
  <si>
    <t>4. Firma de Autorización de Medio Ambiente 
 (KTMEX)</t>
  </si>
  <si>
    <t>5. Responsable de Safety 
validación JSA 
(KTMEX)</t>
  </si>
  <si>
    <t>6. Firma del Responsable de la compañía Contratista</t>
  </si>
  <si>
    <t xml:space="preserve">Nota: Cuando se afecten los procesos productivos derivado de la actividad deberá solicitarse 
3. Firma del Gerente de Área Producción 
(Shop Manager ) </t>
  </si>
  <si>
    <t>F-SGA-8.1- 7 - Análisis de Riesgo para Trabajos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</si>
</sst>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sz val="8"/>
      <color theme="1"/>
      <name val="Calibri"/>
      <family val="2"/>
      <scheme val="minor"/>
    </font>
    <font>
      <b/>
      <sz val="11"/>
      <color theme="4"/>
      <name val="Tahoma"/>
      <family val="2"/>
    </font>
    <font>
      <sz val="11"/>
      <color theme="0"/>
      <name val="Tahoma"/>
      <family val="2"/>
    </font>
    <font>
      <sz val="11"/>
      <color theme="4"/>
      <name val="Tahoma"/>
      <family val="2"/>
    </font>
    <font>
      <b/>
      <sz val="11"/>
      <color theme="0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theme="2" tint="-0.249977111117893"/>
      <name val="Tahoma"/>
      <family val="2"/>
    </font>
    <font>
      <b/>
      <sz val="25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right"/>
    </xf>
    <xf numFmtId="0" fontId="2" fillId="3" borderId="0" xfId="2"/>
    <xf numFmtId="0" fontId="3" fillId="4" borderId="0" xfId="3"/>
    <xf numFmtId="0" fontId="1" fillId="2" borderId="0" xfId="1"/>
    <xf numFmtId="0" fontId="0" fillId="0" borderId="0" xfId="0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 indent="1"/>
      <protection locked="0"/>
    </xf>
    <xf numFmtId="0" fontId="0" fillId="0" borderId="0" xfId="0" applyAlignment="1" applyProtection="1">
      <alignment horizontal="left" vertical="center" wrapText="1" inden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14" fontId="8" fillId="6" borderId="13" xfId="0" applyNumberFormat="1" applyFont="1" applyFill="1" applyBorder="1" applyAlignment="1" applyProtection="1">
      <alignment horizontal="right" vertical="center" wrapText="1" indent="1"/>
      <protection locked="0"/>
    </xf>
    <xf numFmtId="0" fontId="9" fillId="5" borderId="16" xfId="0" applyFont="1" applyFill="1" applyBorder="1" applyAlignment="1" applyProtection="1">
      <alignment horizontal="center" vertical="center"/>
      <protection locked="0"/>
    </xf>
    <xf numFmtId="20" fontId="7" fillId="5" borderId="15" xfId="0" applyNumberFormat="1" applyFont="1" applyFill="1" applyBorder="1" applyAlignment="1" applyProtection="1">
      <alignment horizontal="center" vertical="center"/>
      <protection locked="0"/>
    </xf>
    <xf numFmtId="0" fontId="8" fillId="6" borderId="25" xfId="0" applyFont="1" applyFill="1" applyBorder="1" applyAlignment="1" applyProtection="1">
      <alignment horizontal="center" vertical="center" wrapText="1"/>
      <protection locked="0"/>
    </xf>
    <xf numFmtId="0" fontId="11" fillId="5" borderId="15" xfId="0" applyFont="1" applyFill="1" applyBorder="1" applyAlignment="1" applyProtection="1">
      <alignment horizontal="center" vertical="center" textRotation="90" wrapText="1"/>
      <protection locked="0"/>
    </xf>
    <xf numFmtId="0" fontId="11" fillId="5" borderId="16" xfId="0" applyFont="1" applyFill="1" applyBorder="1" applyAlignment="1">
      <alignment vertical="top" wrapText="1"/>
    </xf>
    <xf numFmtId="0" fontId="11" fillId="5" borderId="15" xfId="0" applyFont="1" applyFill="1" applyBorder="1" applyAlignment="1" applyProtection="1">
      <alignment horizontal="center" vertical="center" wrapText="1"/>
      <protection locked="0"/>
    </xf>
    <xf numFmtId="0" fontId="11" fillId="5" borderId="15" xfId="2" applyFont="1" applyFill="1" applyBorder="1" applyAlignment="1" applyProtection="1">
      <alignment horizontal="center" vertical="center" wrapText="1"/>
      <protection locked="0"/>
    </xf>
    <xf numFmtId="0" fontId="11" fillId="5" borderId="15" xfId="1" applyFont="1" applyFill="1" applyBorder="1" applyAlignment="1" applyProtection="1">
      <alignment horizontal="center" vertical="center" wrapText="1"/>
      <protection locked="0"/>
    </xf>
    <xf numFmtId="0" fontId="11" fillId="5" borderId="18" xfId="0" applyFont="1" applyFill="1" applyBorder="1" applyAlignment="1" applyProtection="1">
      <alignment horizontal="center" vertical="center" textRotation="90" wrapText="1"/>
      <protection locked="0"/>
    </xf>
    <xf numFmtId="0" fontId="11" fillId="5" borderId="15" xfId="0" applyFont="1" applyFill="1" applyBorder="1" applyAlignment="1">
      <alignment vertical="top" wrapText="1"/>
    </xf>
    <xf numFmtId="0" fontId="11" fillId="5" borderId="21" xfId="0" applyFont="1" applyFill="1" applyBorder="1" applyAlignment="1" applyProtection="1">
      <alignment horizontal="left" vertical="center" wrapText="1" indent="1"/>
      <protection locked="0"/>
    </xf>
    <xf numFmtId="0" fontId="11" fillId="5" borderId="21" xfId="0" applyFont="1" applyFill="1" applyBorder="1" applyAlignment="1">
      <alignment horizontal="left" vertical="center" wrapText="1" indent="1"/>
    </xf>
    <xf numFmtId="0" fontId="11" fillId="5" borderId="15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 applyProtection="1">
      <alignment horizontal="center" vertical="center" wrapText="1"/>
      <protection locked="0"/>
    </xf>
    <xf numFmtId="0" fontId="12" fillId="5" borderId="0" xfId="0" applyFont="1" applyFill="1" applyAlignment="1" applyProtection="1">
      <alignment horizontal="center" vertical="center" wrapText="1"/>
      <protection locked="0"/>
    </xf>
    <xf numFmtId="0" fontId="11" fillId="5" borderId="21" xfId="0" applyFont="1" applyFill="1" applyBorder="1" applyAlignment="1">
      <alignment horizontal="left" vertical="center" wrapText="1" indent="2"/>
    </xf>
    <xf numFmtId="0" fontId="14" fillId="5" borderId="15" xfId="0" applyFont="1" applyFill="1" applyBorder="1" applyAlignment="1" applyProtection="1">
      <alignment horizontal="center" vertical="center" wrapText="1"/>
      <protection locked="0"/>
    </xf>
    <xf numFmtId="20" fontId="7" fillId="5" borderId="13" xfId="0" applyNumberFormat="1" applyFont="1" applyFill="1" applyBorder="1" applyAlignment="1" applyProtection="1">
      <alignment horizontal="center" vertical="center"/>
      <protection locked="0"/>
    </xf>
    <xf numFmtId="14" fontId="8" fillId="6" borderId="15" xfId="0" applyNumberFormat="1" applyFont="1" applyFill="1" applyBorder="1" applyAlignment="1" applyProtection="1">
      <alignment horizontal="right" vertical="center" wrapText="1" indent="1"/>
      <protection locked="0"/>
    </xf>
    <xf numFmtId="0" fontId="12" fillId="5" borderId="30" xfId="0" applyFont="1" applyFill="1" applyBorder="1" applyAlignment="1" applyProtection="1">
      <alignment horizontal="right" vertical="center" wrapText="1"/>
      <protection locked="0"/>
    </xf>
    <xf numFmtId="0" fontId="12" fillId="5" borderId="17" xfId="0" applyFont="1" applyFill="1" applyBorder="1" applyAlignment="1" applyProtection="1">
      <alignment horizontal="center" vertical="center" wrapText="1"/>
      <protection locked="0"/>
    </xf>
    <xf numFmtId="0" fontId="12" fillId="5" borderId="32" xfId="0" applyFont="1" applyFill="1" applyBorder="1" applyAlignment="1" applyProtection="1">
      <alignment horizontal="center" vertical="center" wrapText="1"/>
      <protection locked="0"/>
    </xf>
    <xf numFmtId="0" fontId="12" fillId="5" borderId="29" xfId="0" applyFont="1" applyFill="1" applyBorder="1" applyAlignment="1" applyProtection="1">
      <alignment horizontal="center" vertical="center" wrapText="1"/>
      <protection locked="0"/>
    </xf>
    <xf numFmtId="0" fontId="12" fillId="5" borderId="31" xfId="0" applyFont="1" applyFill="1" applyBorder="1" applyAlignment="1" applyProtection="1">
      <alignment horizontal="center" vertical="center" wrapText="1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12" fillId="5" borderId="17" xfId="0" applyFont="1" applyFill="1" applyBorder="1" applyAlignment="1" applyProtection="1">
      <alignment horizontal="center" vertical="center" wrapText="1"/>
      <protection locked="0"/>
    </xf>
    <xf numFmtId="0" fontId="12" fillId="5" borderId="29" xfId="0" applyFont="1" applyFill="1" applyBorder="1" applyAlignment="1" applyProtection="1">
      <alignment horizontal="center" vertical="center" wrapText="1"/>
      <protection locked="0"/>
    </xf>
    <xf numFmtId="0" fontId="12" fillId="5" borderId="12" xfId="0" applyFont="1" applyFill="1" applyBorder="1" applyAlignment="1" applyProtection="1">
      <alignment horizontal="center" vertical="center" wrapText="1"/>
      <protection locked="0"/>
    </xf>
    <xf numFmtId="0" fontId="12" fillId="5" borderId="34" xfId="0" applyFont="1" applyFill="1" applyBorder="1" applyAlignment="1" applyProtection="1">
      <alignment horizontal="center" vertical="center" wrapText="1"/>
      <protection locked="0"/>
    </xf>
    <xf numFmtId="0" fontId="13" fillId="5" borderId="5" xfId="0" applyFont="1" applyFill="1" applyBorder="1" applyAlignment="1" applyProtection="1">
      <alignment horizontal="center" vertical="center"/>
      <protection locked="0"/>
    </xf>
    <xf numFmtId="0" fontId="13" fillId="5" borderId="0" xfId="0" applyFont="1" applyFill="1" applyAlignment="1" applyProtection="1">
      <alignment horizontal="center" vertical="center"/>
      <protection locked="0"/>
    </xf>
    <xf numFmtId="0" fontId="13" fillId="5" borderId="10" xfId="0" applyFont="1" applyFill="1" applyBorder="1" applyAlignment="1" applyProtection="1">
      <alignment horizontal="center" vertical="center"/>
      <protection locked="0"/>
    </xf>
    <xf numFmtId="0" fontId="13" fillId="5" borderId="11" xfId="0" applyFont="1" applyFill="1" applyBorder="1" applyAlignment="1" applyProtection="1">
      <alignment horizontal="center" vertical="center"/>
      <protection locked="0"/>
    </xf>
    <xf numFmtId="0" fontId="12" fillId="7" borderId="30" xfId="0" applyFont="1" applyFill="1" applyBorder="1" applyAlignment="1" applyProtection="1">
      <alignment horizontal="center" vertical="center" wrapText="1"/>
      <protection locked="0"/>
    </xf>
    <xf numFmtId="0" fontId="12" fillId="5" borderId="30" xfId="0" applyFont="1" applyFill="1" applyBorder="1" applyAlignment="1" applyProtection="1">
      <alignment horizontal="center" vertical="center" wrapText="1"/>
      <protection locked="0"/>
    </xf>
    <xf numFmtId="2" fontId="12" fillId="5" borderId="30" xfId="0" applyNumberFormat="1" applyFont="1" applyFill="1" applyBorder="1" applyAlignment="1" applyProtection="1">
      <alignment horizontal="center" wrapText="1"/>
      <protection locked="0"/>
    </xf>
    <xf numFmtId="0" fontId="12" fillId="5" borderId="30" xfId="0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horizontal="center" vertical="center" wrapText="1"/>
      <protection locked="0"/>
    </xf>
    <xf numFmtId="0" fontId="12" fillId="5" borderId="28" xfId="0" applyFont="1" applyFill="1" applyBorder="1" applyAlignment="1" applyProtection="1">
      <alignment horizontal="center"/>
      <protection locked="0"/>
    </xf>
    <xf numFmtId="0" fontId="12" fillId="5" borderId="17" xfId="0" applyFont="1" applyFill="1" applyBorder="1" applyAlignment="1" applyProtection="1">
      <alignment horizontal="center"/>
      <protection locked="0"/>
    </xf>
    <xf numFmtId="0" fontId="12" fillId="5" borderId="33" xfId="0" applyFont="1" applyFill="1" applyBorder="1" applyAlignment="1" applyProtection="1">
      <alignment horizontal="center"/>
      <protection locked="0"/>
    </xf>
    <xf numFmtId="0" fontId="12" fillId="5" borderId="32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1" fillId="5" borderId="5" xfId="0" applyFont="1" applyFill="1" applyBorder="1" applyAlignment="1" applyProtection="1">
      <alignment vertical="center" wrapText="1"/>
      <protection locked="0"/>
    </xf>
    <xf numFmtId="0" fontId="11" fillId="5" borderId="0" xfId="0" applyFont="1" applyFill="1" applyAlignment="1" applyProtection="1">
      <alignment vertical="center" wrapText="1"/>
      <protection locked="0"/>
    </xf>
    <xf numFmtId="0" fontId="11" fillId="5" borderId="6" xfId="0" applyFont="1" applyFill="1" applyBorder="1" applyAlignment="1" applyProtection="1">
      <alignment vertical="center" wrapText="1"/>
      <protection locked="0"/>
    </xf>
    <xf numFmtId="0" fontId="11" fillId="5" borderId="10" xfId="0" applyFont="1" applyFill="1" applyBorder="1" applyAlignment="1" applyProtection="1">
      <alignment vertical="center" wrapText="1"/>
      <protection locked="0"/>
    </xf>
    <xf numFmtId="0" fontId="11" fillId="5" borderId="11" xfId="0" applyFont="1" applyFill="1" applyBorder="1" applyAlignment="1" applyProtection="1">
      <alignment vertical="center" wrapText="1"/>
      <protection locked="0"/>
    </xf>
    <xf numFmtId="0" fontId="11" fillId="5" borderId="22" xfId="0" applyFont="1" applyFill="1" applyBorder="1" applyAlignment="1" applyProtection="1">
      <alignment vertical="center" wrapText="1"/>
      <protection locked="0"/>
    </xf>
    <xf numFmtId="0" fontId="12" fillId="5" borderId="28" xfId="0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left" vertical="center" wrapText="1"/>
    </xf>
    <xf numFmtId="0" fontId="12" fillId="5" borderId="23" xfId="0" applyFont="1" applyFill="1" applyBorder="1" applyAlignment="1">
      <alignment horizontal="left" vertical="center" wrapText="1"/>
    </xf>
    <xf numFmtId="0" fontId="12" fillId="5" borderId="10" xfId="0" applyFont="1" applyFill="1" applyBorder="1" applyAlignment="1">
      <alignment horizontal="left" vertical="center" wrapText="1"/>
    </xf>
    <xf numFmtId="0" fontId="12" fillId="5" borderId="11" xfId="0" applyFont="1" applyFill="1" applyBorder="1" applyAlignment="1">
      <alignment horizontal="left" vertical="center" wrapText="1"/>
    </xf>
    <xf numFmtId="0" fontId="12" fillId="5" borderId="22" xfId="0" applyFont="1" applyFill="1" applyBorder="1" applyAlignment="1">
      <alignment horizontal="left" vertical="center" wrapText="1"/>
    </xf>
    <xf numFmtId="0" fontId="11" fillId="5" borderId="28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left" vertical="center" wrapText="1"/>
    </xf>
    <xf numFmtId="0" fontId="11" fillId="5" borderId="23" xfId="0" applyFont="1" applyFill="1" applyBorder="1" applyAlignment="1">
      <alignment horizontal="left" vertical="center" wrapText="1"/>
    </xf>
    <xf numFmtId="0" fontId="11" fillId="5" borderId="10" xfId="0" applyFont="1" applyFill="1" applyBorder="1" applyAlignment="1">
      <alignment horizontal="left" vertical="center" wrapText="1"/>
    </xf>
    <xf numFmtId="0" fontId="11" fillId="5" borderId="11" xfId="0" applyFont="1" applyFill="1" applyBorder="1" applyAlignment="1">
      <alignment horizontal="left" vertical="center" wrapText="1"/>
    </xf>
    <xf numFmtId="0" fontId="11" fillId="5" borderId="22" xfId="0" applyFont="1" applyFill="1" applyBorder="1" applyAlignment="1">
      <alignment horizontal="left" vertical="center" wrapText="1"/>
    </xf>
    <xf numFmtId="0" fontId="10" fillId="6" borderId="28" xfId="0" applyFont="1" applyFill="1" applyBorder="1" applyAlignment="1" applyProtection="1">
      <alignment horizontal="center" vertical="center" wrapText="1"/>
      <protection locked="0"/>
    </xf>
    <xf numFmtId="0" fontId="10" fillId="6" borderId="17" xfId="0" applyFont="1" applyFill="1" applyBorder="1" applyAlignment="1" applyProtection="1">
      <alignment horizontal="center" vertical="center"/>
      <protection locked="0"/>
    </xf>
    <xf numFmtId="0" fontId="10" fillId="6" borderId="29" xfId="0" applyFont="1" applyFill="1" applyBorder="1" applyAlignment="1" applyProtection="1">
      <alignment horizontal="center" vertical="center"/>
      <protection locked="0"/>
    </xf>
    <xf numFmtId="0" fontId="12" fillId="5" borderId="30" xfId="0" applyFont="1" applyFill="1" applyBorder="1" applyAlignment="1" applyProtection="1">
      <alignment horizontal="center" vertical="center"/>
      <protection locked="0"/>
    </xf>
    <xf numFmtId="0" fontId="12" fillId="5" borderId="30" xfId="0" applyFont="1" applyFill="1" applyBorder="1" applyAlignment="1" applyProtection="1">
      <alignment horizontal="center" vertical="top" wrapText="1"/>
      <protection locked="0"/>
    </xf>
    <xf numFmtId="0" fontId="13" fillId="5" borderId="19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 applyProtection="1">
      <alignment horizontal="center" vertical="center"/>
      <protection locked="0"/>
    </xf>
    <xf numFmtId="0" fontId="5" fillId="5" borderId="6" xfId="0" applyFont="1" applyFill="1" applyBorder="1" applyAlignment="1" applyProtection="1">
      <alignment horizontal="center" vertical="center"/>
      <protection locked="0"/>
    </xf>
    <xf numFmtId="0" fontId="5" fillId="5" borderId="8" xfId="0" applyFont="1" applyFill="1" applyBorder="1" applyAlignment="1" applyProtection="1">
      <alignment horizontal="center" vertical="center"/>
      <protection locked="0"/>
    </xf>
    <xf numFmtId="0" fontId="5" fillId="5" borderId="9" xfId="0" applyFont="1" applyFill="1" applyBorder="1" applyAlignment="1" applyProtection="1">
      <alignment horizontal="center" vertical="center"/>
      <protection locked="0"/>
    </xf>
    <xf numFmtId="0" fontId="11" fillId="5" borderId="15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4" xfId="0" applyFont="1" applyFill="1" applyBorder="1" applyAlignment="1" applyProtection="1">
      <alignment horizontal="center" vertical="center" wrapText="1"/>
      <protection locked="0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8" fillId="6" borderId="24" xfId="0" applyFont="1" applyFill="1" applyBorder="1" applyAlignment="1" applyProtection="1">
      <alignment horizontal="center" vertical="center" wrapText="1"/>
      <protection locked="0"/>
    </xf>
    <xf numFmtId="0" fontId="8" fillId="6" borderId="17" xfId="0" applyFont="1" applyFill="1" applyBorder="1" applyAlignment="1" applyProtection="1">
      <alignment horizontal="center" vertical="center" wrapText="1"/>
      <protection locked="0"/>
    </xf>
    <xf numFmtId="0" fontId="8" fillId="6" borderId="23" xfId="0" applyFont="1" applyFill="1" applyBorder="1" applyAlignment="1" applyProtection="1">
      <alignment horizontal="center" vertical="center" wrapText="1"/>
      <protection locked="0"/>
    </xf>
    <xf numFmtId="0" fontId="10" fillId="6" borderId="10" xfId="0" applyFont="1" applyFill="1" applyBorder="1" applyAlignment="1" applyProtection="1">
      <alignment horizontal="center" vertical="center" wrapText="1"/>
      <protection locked="0"/>
    </xf>
    <xf numFmtId="0" fontId="10" fillId="6" borderId="11" xfId="0" applyFont="1" applyFill="1" applyBorder="1" applyAlignment="1" applyProtection="1">
      <alignment horizontal="center" vertical="center" wrapText="1"/>
      <protection locked="0"/>
    </xf>
    <xf numFmtId="0" fontId="10" fillId="6" borderId="20" xfId="0" applyFont="1" applyFill="1" applyBorder="1" applyAlignment="1" applyProtection="1">
      <alignment horizontal="center" vertical="center" wrapText="1"/>
      <protection locked="0"/>
    </xf>
    <xf numFmtId="0" fontId="7" fillId="5" borderId="18" xfId="0" applyFont="1" applyFill="1" applyBorder="1" applyAlignment="1" applyProtection="1">
      <alignment horizontal="center" vertical="center"/>
      <protection locked="0"/>
    </xf>
    <xf numFmtId="0" fontId="7" fillId="5" borderId="12" xfId="0" applyFont="1" applyFill="1" applyBorder="1" applyAlignment="1" applyProtection="1">
      <alignment horizontal="center" vertical="center"/>
      <protection locked="0"/>
    </xf>
    <xf numFmtId="0" fontId="7" fillId="5" borderId="16" xfId="0" applyFont="1" applyFill="1" applyBorder="1" applyAlignment="1" applyProtection="1">
      <alignment horizontal="center" vertical="center"/>
      <protection locked="0"/>
    </xf>
    <xf numFmtId="0" fontId="8" fillId="6" borderId="26" xfId="0" applyFont="1" applyFill="1" applyBorder="1" applyAlignment="1" applyProtection="1">
      <alignment horizontal="right" vertical="center" wrapText="1" indent="2"/>
      <protection locked="0"/>
    </xf>
    <xf numFmtId="0" fontId="8" fillId="6" borderId="27" xfId="0" applyFont="1" applyFill="1" applyBorder="1" applyAlignment="1" applyProtection="1">
      <alignment horizontal="right" vertical="center" indent="2"/>
      <protection locked="0"/>
    </xf>
    <xf numFmtId="0" fontId="8" fillId="6" borderId="14" xfId="0" applyFont="1" applyFill="1" applyBorder="1" applyAlignment="1" applyProtection="1">
      <alignment horizontal="right" vertical="center" wrapText="1" indent="2"/>
      <protection locked="0"/>
    </xf>
    <xf numFmtId="0" fontId="8" fillId="6" borderId="16" xfId="0" applyFont="1" applyFill="1" applyBorder="1" applyAlignment="1" applyProtection="1">
      <alignment horizontal="right" vertical="center" indent="2"/>
      <protection locked="0"/>
    </xf>
    <xf numFmtId="0" fontId="8" fillId="6" borderId="29" xfId="0" applyFont="1" applyFill="1" applyBorder="1" applyAlignment="1" applyProtection="1">
      <alignment horizontal="center" vertical="center" wrapText="1"/>
      <protection locked="0"/>
    </xf>
    <xf numFmtId="0" fontId="8" fillId="6" borderId="19" xfId="0" applyFont="1" applyFill="1" applyBorder="1" applyAlignment="1" applyProtection="1">
      <alignment horizontal="center" vertical="center" wrapText="1"/>
      <protection locked="0"/>
    </xf>
    <xf numFmtId="0" fontId="8" fillId="6" borderId="0" xfId="0" applyFont="1" applyFill="1" applyAlignment="1" applyProtection="1">
      <alignment horizontal="center" vertical="center" wrapText="1"/>
      <protection locked="0"/>
    </xf>
    <xf numFmtId="0" fontId="8" fillId="6" borderId="28" xfId="0" applyFont="1" applyFill="1" applyBorder="1" applyAlignment="1" applyProtection="1">
      <alignment horizontal="center" vertical="center" wrapText="1"/>
      <protection locked="0"/>
    </xf>
    <xf numFmtId="0" fontId="8" fillId="6" borderId="5" xfId="0" applyFont="1" applyFill="1" applyBorder="1" applyAlignment="1" applyProtection="1">
      <alignment horizontal="center" vertical="center" wrapText="1"/>
      <protection locked="0"/>
    </xf>
    <xf numFmtId="0" fontId="8" fillId="6" borderId="7" xfId="0" applyFont="1" applyFill="1" applyBorder="1" applyAlignment="1" applyProtection="1">
      <alignment horizontal="center" vertical="center" wrapText="1"/>
      <protection locked="0"/>
    </xf>
    <xf numFmtId="0" fontId="8" fillId="6" borderId="6" xfId="0" applyFont="1" applyFill="1" applyBorder="1" applyAlignment="1" applyProtection="1">
      <alignment horizontal="center" vertical="center" wrapText="1"/>
      <protection locked="0"/>
    </xf>
    <xf numFmtId="0" fontId="11" fillId="5" borderId="15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 applyProtection="1">
      <alignment horizontal="center"/>
      <protection locked="0"/>
    </xf>
    <xf numFmtId="0" fontId="12" fillId="5" borderId="12" xfId="0" applyFont="1" applyFill="1" applyBorder="1" applyAlignment="1" applyProtection="1">
      <alignment horizontal="center"/>
      <protection locked="0"/>
    </xf>
    <xf numFmtId="0" fontId="11" fillId="5" borderId="17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 wrapText="1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71954</xdr:colOff>
      <xdr:row>1</xdr:row>
      <xdr:rowOff>21854</xdr:rowOff>
    </xdr:from>
    <xdr:to>
      <xdr:col>1</xdr:col>
      <xdr:colOff>682969</xdr:colOff>
      <xdr:row>2</xdr:row>
      <xdr:rowOff>268941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ACDD97-CB97-DF85-3C1E-DEF78ABCD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54" y="201148"/>
          <a:ext cx="1384221" cy="426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49"/>
  <sheetViews>
    <sheetView tabSelected="1" view="pageBreakPreview" zoomScale="70" zoomScaleNormal="85" zoomScaleSheetLayoutView="70" workbookViewId="0">
      <selection activeCell="K9" sqref="K9"/>
    </sheetView>
  </sheetViews>
  <sheetFormatPr baseColWidth="10" defaultColWidth="11.5703125" defaultRowHeight="15" x14ac:dyDescent="0.25"/>
  <cols>
    <col min="1" max="1" width="11.5703125" style="6"/>
    <col min="2" max="2" width="13.7109375" style="6" customWidth="1"/>
    <col min="3" max="3" width="16.28515625" style="6" customWidth="1"/>
    <col min="4" max="4" width="6.42578125" style="6" customWidth="1"/>
    <col min="5" max="5" width="29" style="6" customWidth="1"/>
    <col min="6" max="6" width="14.42578125" style="6" customWidth="1"/>
    <col min="7" max="7" width="2.5703125" style="6" hidden="1" customWidth="1"/>
    <col min="8" max="8" width="12.42578125" style="6" customWidth="1"/>
    <col min="9" max="10" width="10.42578125" style="6" hidden="1" customWidth="1"/>
    <col min="11" max="11" width="16.42578125" style="6" customWidth="1"/>
    <col min="12" max="12" width="42.5703125" style="6" customWidth="1"/>
    <col min="13" max="13" width="12.7109375" style="6" customWidth="1"/>
    <col min="14" max="14" width="9.42578125" style="6" hidden="1" customWidth="1"/>
    <col min="15" max="15" width="12.5703125" style="6" customWidth="1"/>
    <col min="16" max="17" width="10.42578125" style="6" hidden="1" customWidth="1"/>
    <col min="18" max="18" width="11.42578125" style="6" customWidth="1"/>
    <col min="19" max="19" width="44.5703125" style="6" customWidth="1"/>
    <col min="20" max="16384" width="11.5703125" style="6"/>
  </cols>
  <sheetData>
    <row r="1" spans="1:19" ht="14.65" customHeight="1" x14ac:dyDescent="0.25">
      <c r="A1" s="80"/>
      <c r="B1" s="81"/>
      <c r="C1" s="87" t="s">
        <v>32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6" t="s">
        <v>46</v>
      </c>
    </row>
    <row r="2" spans="1:19" ht="14.65" customHeight="1" x14ac:dyDescent="0.25">
      <c r="A2" s="82"/>
      <c r="B2" s="83"/>
      <c r="C2" s="89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86"/>
    </row>
    <row r="3" spans="1:19" ht="39" customHeight="1" thickBot="1" x14ac:dyDescent="0.3">
      <c r="A3" s="84"/>
      <c r="B3" s="85"/>
      <c r="C3" s="89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86"/>
    </row>
    <row r="4" spans="1:19" ht="30" customHeight="1" x14ac:dyDescent="0.25">
      <c r="A4" s="100" t="s">
        <v>20</v>
      </c>
      <c r="B4" s="101"/>
      <c r="C4" s="97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9"/>
      <c r="P4" s="11"/>
      <c r="Q4" s="11"/>
      <c r="R4" s="31" t="s">
        <v>22</v>
      </c>
      <c r="S4" s="30"/>
    </row>
    <row r="5" spans="1:19" ht="30" customHeight="1" x14ac:dyDescent="0.25">
      <c r="A5" s="102" t="s">
        <v>21</v>
      </c>
      <c r="B5" s="103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9"/>
      <c r="P5" s="13"/>
      <c r="Q5" s="13"/>
      <c r="R5" s="12" t="s">
        <v>23</v>
      </c>
      <c r="S5" s="14"/>
    </row>
    <row r="6" spans="1:19" ht="20.65" customHeight="1" x14ac:dyDescent="0.25">
      <c r="A6" s="94" t="s">
        <v>30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6"/>
    </row>
    <row r="7" spans="1:19" ht="79.900000000000006" customHeight="1" x14ac:dyDescent="0.25">
      <c r="A7" s="107" t="s">
        <v>33</v>
      </c>
      <c r="B7" s="92"/>
      <c r="C7" s="92"/>
      <c r="D7" s="91" t="s">
        <v>34</v>
      </c>
      <c r="E7" s="93"/>
      <c r="F7" s="91" t="s">
        <v>35</v>
      </c>
      <c r="G7" s="92"/>
      <c r="H7" s="92"/>
      <c r="I7" s="92"/>
      <c r="J7" s="92"/>
      <c r="K7" s="93"/>
      <c r="L7" s="92" t="s">
        <v>36</v>
      </c>
      <c r="M7" s="91" t="s">
        <v>37</v>
      </c>
      <c r="N7" s="92"/>
      <c r="O7" s="92"/>
      <c r="P7" s="92"/>
      <c r="Q7" s="92"/>
      <c r="R7" s="93"/>
      <c r="S7" s="104" t="s">
        <v>38</v>
      </c>
    </row>
    <row r="8" spans="1:19" x14ac:dyDescent="0.25">
      <c r="A8" s="108"/>
      <c r="B8" s="106"/>
      <c r="C8" s="106"/>
      <c r="D8" s="109"/>
      <c r="E8" s="110"/>
      <c r="F8" s="15" t="s">
        <v>0</v>
      </c>
      <c r="G8" s="15"/>
      <c r="H8" s="15" t="s">
        <v>1</v>
      </c>
      <c r="I8" s="15"/>
      <c r="J8" s="15"/>
      <c r="K8" s="15" t="s">
        <v>2</v>
      </c>
      <c r="L8" s="106"/>
      <c r="M8" s="15" t="s">
        <v>0</v>
      </c>
      <c r="N8" s="15"/>
      <c r="O8" s="15" t="s">
        <v>1</v>
      </c>
      <c r="P8" s="15"/>
      <c r="Q8" s="15"/>
      <c r="R8" s="15" t="s">
        <v>2</v>
      </c>
      <c r="S8" s="105"/>
    </row>
    <row r="9" spans="1:19" s="7" customFormat="1" ht="100.5" customHeight="1" x14ac:dyDescent="0.25">
      <c r="A9" s="56"/>
      <c r="B9" s="57"/>
      <c r="C9" s="58"/>
      <c r="D9" s="16" t="s">
        <v>28</v>
      </c>
      <c r="E9" s="17"/>
      <c r="F9" s="18"/>
      <c r="G9" s="18">
        <f>IF(F9=Hoja2!$D$4,Hoja2!$D$3,IF(JSA!F9=Hoja2!$E$4,Hoja2!$E$3,IF(JSA!F9=Hoja2!$F$4,Hoja2!$F$3,IF(JSA!F9=Hoja2!$G$4,Hoja2!$G$3,0))))</f>
        <v>0</v>
      </c>
      <c r="H9" s="18"/>
      <c r="I9" s="18">
        <f>IF(H9=Hoja2!$C$9,Hoja2!$B$9,IF(JSA!H9=Hoja2!$C$8,Hoja2!$B$8,IF(JSA!H9=Hoja2!$C$7,Hoja2!$B$7,IF(JSA!H9=Hoja2!$C$6,Hoja2!$B$6,IF(JSA!H9=Hoja2!$C$5,Hoja2!$B$5,0)))))</f>
        <v>0</v>
      </c>
      <c r="J9" s="18">
        <f t="shared" ref="J9" si="0">I9*G9</f>
        <v>0</v>
      </c>
      <c r="K9" s="19" t="str">
        <f>IF(ISERROR(VLOOKUP(J9,Hoja2!$B$11:$C$23,2,FALSE)),"",VLOOKUP(JSA!J9,Hoja2!$B$11:$C$23,2,FALSE))</f>
        <v/>
      </c>
      <c r="L9" s="25"/>
      <c r="M9" s="18"/>
      <c r="N9" s="18">
        <f>IF(M9=Hoja2!$D$4,Hoja2!$D$3,IF(JSA!M9=Hoja2!$E$4,Hoja2!$E$3,IF(JSA!M9=Hoja2!$F$4,Hoja2!$F$3,IF(JSA!M9=Hoja2!$G$4,Hoja2!$G$3,0))))</f>
        <v>0</v>
      </c>
      <c r="O9" s="18"/>
      <c r="P9" s="18">
        <f>IF(O9=Hoja2!$C$9,Hoja2!$B$9,IF(JSA!O9=Hoja2!$C$8,Hoja2!$B$8,IF(JSA!O9=Hoja2!$C$7,Hoja2!$B$7,IF(JSA!O9=Hoja2!$C$6,Hoja2!$B$6,IF(JSA!O9=Hoja2!$C$5,Hoja2!$B$5,0)))))</f>
        <v>0</v>
      </c>
      <c r="Q9" s="18">
        <f>N9*P9</f>
        <v>0</v>
      </c>
      <c r="R9" s="20" t="str">
        <f>IF(ISERROR(VLOOKUP(Q9,Hoja2!$B$11:$C$23,2,FALSE)),"",VLOOKUP(JSA!Q9,Hoja2!$B$11:$C$23,2,FALSE))</f>
        <v/>
      </c>
      <c r="S9" s="28"/>
    </row>
    <row r="10" spans="1:19" s="7" customFormat="1" ht="62.25" customHeight="1" x14ac:dyDescent="0.25">
      <c r="A10" s="59"/>
      <c r="B10" s="60"/>
      <c r="C10" s="61"/>
      <c r="D10" s="21" t="s">
        <v>29</v>
      </c>
      <c r="E10" s="29"/>
      <c r="F10" s="18"/>
      <c r="G10" s="18">
        <f>IF(F10=Hoja2!$D$4,Hoja2!$D$3,IF(JSA!F10=Hoja2!$E$4,Hoja2!$E$3,IF(JSA!F10=Hoja2!$F$4,Hoja2!$F$3,IF(JSA!F10=Hoja2!$G$4,Hoja2!$G$3,0))))</f>
        <v>0</v>
      </c>
      <c r="H10" s="18"/>
      <c r="I10" s="18">
        <f>IF(H10=Hoja2!$C$9,Hoja2!$B$9,IF(JSA!H10=Hoja2!$C$8,Hoja2!$B$8,IF(JSA!H10=Hoja2!$C$7,Hoja2!$B$7,IF(JSA!H10=Hoja2!$C$6,Hoja2!$B$6,IF(JSA!H10=Hoja2!$C$5,Hoja2!$B$5,0)))))</f>
        <v>0</v>
      </c>
      <c r="J10" s="18">
        <f t="shared" ref="J10:J28" si="1">I10*G10</f>
        <v>0</v>
      </c>
      <c r="K10" s="19" t="str">
        <f>IF(ISERROR(VLOOKUP(J10,Hoja2!$B$11:$C$23,2,FALSE)),"",VLOOKUP(JSA!J10,Hoja2!$B$11:$C$23,2,FALSE))</f>
        <v/>
      </c>
      <c r="L10" s="29"/>
      <c r="M10" s="18"/>
      <c r="N10" s="18">
        <f>IF(M10=Hoja2!$D$4,Hoja2!$D$3,IF(JSA!M10=Hoja2!$E$4,Hoja2!$E$3,IF(JSA!M10=Hoja2!$F$4,Hoja2!$F$3,IF(JSA!M10=Hoja2!$G$4,Hoja2!$G$3,0))))</f>
        <v>0</v>
      </c>
      <c r="O10" s="18"/>
      <c r="P10" s="18">
        <f>IF(O10=Hoja2!$C$9,Hoja2!$B$9,IF(JSA!O10=Hoja2!$C$8,Hoja2!$B$8,IF(JSA!O10=Hoja2!$C$7,Hoja2!$B$7,IF(JSA!O10=Hoja2!$C$6,Hoja2!$B$6,IF(JSA!O10=Hoja2!$C$5,Hoja2!$B$5,0)))))</f>
        <v>0</v>
      </c>
      <c r="Q10" s="18">
        <f t="shared" ref="Q10:Q28" si="2">N10*P10</f>
        <v>0</v>
      </c>
      <c r="R10" s="20" t="str">
        <f>IF(ISERROR(VLOOKUP(Q10,Hoja2!$B$11:$C$23,2,FALSE)),"",VLOOKUP(JSA!Q10,Hoja2!$B$11:$C$23,2,FALSE))</f>
        <v/>
      </c>
      <c r="S10" s="29"/>
    </row>
    <row r="11" spans="1:19" s="8" customFormat="1" ht="108" customHeight="1" x14ac:dyDescent="0.25">
      <c r="A11" s="62"/>
      <c r="B11" s="63"/>
      <c r="C11" s="64"/>
      <c r="D11" s="21" t="s">
        <v>28</v>
      </c>
      <c r="E11" s="22"/>
      <c r="F11" s="18"/>
      <c r="G11" s="18">
        <f>IF(F11=Hoja2!$D$4,Hoja2!$D$3,IF(JSA!F11=Hoja2!$E$4,Hoja2!$E$3,IF(JSA!F11=Hoja2!$F$4,Hoja2!$F$3,IF(JSA!F11=Hoja2!$G$4,Hoja2!$G$3,0))))</f>
        <v>0</v>
      </c>
      <c r="H11" s="18"/>
      <c r="I11" s="18">
        <f>IF(H11=Hoja2!$C$9,Hoja2!$B$9,IF(JSA!H11=Hoja2!$C$8,Hoja2!$B$8,IF(JSA!H11=Hoja2!$C$7,Hoja2!$B$7,IF(JSA!H11=Hoja2!$C$6,Hoja2!$B$6,IF(JSA!H11=Hoja2!$C$5,Hoja2!$B$5,0)))))</f>
        <v>0</v>
      </c>
      <c r="J11" s="18">
        <f t="shared" si="1"/>
        <v>0</v>
      </c>
      <c r="K11" s="19" t="str">
        <f>IF(ISERROR(VLOOKUP(J11,Hoja2!$B$11:$C$23,2,FALSE)),"",VLOOKUP(JSA!J11,Hoja2!$B$11:$C$23,2,FALSE))</f>
        <v/>
      </c>
      <c r="L11" s="25"/>
      <c r="M11" s="18"/>
      <c r="N11" s="18">
        <f>IF(M11=Hoja2!$D$4,Hoja2!$D$3,IF(JSA!M11=Hoja2!$E$4,Hoja2!$E$3,IF(JSA!M11=Hoja2!$F$4,Hoja2!$F$3,IF(JSA!M11=Hoja2!$G$4,Hoja2!$G$3,0))))</f>
        <v>0</v>
      </c>
      <c r="O11" s="18"/>
      <c r="P11" s="18">
        <f>IF(O11=Hoja2!$C$9,Hoja2!$B$9,IF(JSA!O11=Hoja2!$C$8,Hoja2!$B$8,IF(JSA!O11=Hoja2!$C$7,Hoja2!$B$7,IF(JSA!O11=Hoja2!$C$6,Hoja2!$B$6,IF(JSA!O11=Hoja2!$C$5,Hoja2!$B$5,0)))))</f>
        <v>0</v>
      </c>
      <c r="Q11" s="18">
        <f t="shared" si="2"/>
        <v>0</v>
      </c>
      <c r="R11" s="20" t="str">
        <f>IF(ISERROR(VLOOKUP(Q11,Hoja2!$B$11:$C$23,2,FALSE)),"",VLOOKUP(JSA!Q11,Hoja2!$B$11:$C$23,2,FALSE))</f>
        <v/>
      </c>
      <c r="S11" s="23"/>
    </row>
    <row r="12" spans="1:19" s="8" customFormat="1" ht="62.25" customHeight="1" x14ac:dyDescent="0.25">
      <c r="A12" s="65"/>
      <c r="B12" s="66"/>
      <c r="C12" s="67"/>
      <c r="D12" s="21" t="s">
        <v>29</v>
      </c>
      <c r="E12" s="29"/>
      <c r="F12" s="18"/>
      <c r="G12" s="18">
        <f>IF(F12=Hoja2!$D$4,Hoja2!$D$3,IF(JSA!F12=Hoja2!$E$4,Hoja2!$E$3,IF(JSA!F12=Hoja2!$F$4,Hoja2!$F$3,IF(JSA!F12=Hoja2!$G$4,Hoja2!$G$3,0))))</f>
        <v>0</v>
      </c>
      <c r="H12" s="18"/>
      <c r="I12" s="18">
        <f>IF(H12=Hoja2!$C$9,Hoja2!$B$9,IF(JSA!H12=Hoja2!$C$8,Hoja2!$B$8,IF(JSA!H12=Hoja2!$C$7,Hoja2!$B$7,IF(JSA!H12=Hoja2!$C$6,Hoja2!$B$6,IF(JSA!H12=Hoja2!$C$5,Hoja2!$B$5,0)))))</f>
        <v>0</v>
      </c>
      <c r="J12" s="18">
        <f t="shared" si="1"/>
        <v>0</v>
      </c>
      <c r="K12" s="19" t="str">
        <f>IF(ISERROR(VLOOKUP(J12,Hoja2!$B$11:$C$23,2,FALSE)),"",VLOOKUP(JSA!J12,Hoja2!$B$11:$C$23,2,FALSE))</f>
        <v/>
      </c>
      <c r="L12" s="29"/>
      <c r="M12" s="18"/>
      <c r="N12" s="18">
        <f>IF(M12=Hoja2!$D$4,Hoja2!$D$3,IF(JSA!M12=Hoja2!$E$4,Hoja2!$E$3,IF(JSA!M12=Hoja2!$F$4,Hoja2!$F$3,IF(JSA!M12=Hoja2!$G$4,Hoja2!$G$3,0))))</f>
        <v>0</v>
      </c>
      <c r="O12" s="18"/>
      <c r="P12" s="18">
        <f>IF(O12=Hoja2!$C$9,Hoja2!$B$9,IF(JSA!O12=Hoja2!$C$8,Hoja2!$B$8,IF(JSA!O12=Hoja2!$C$7,Hoja2!$B$7,IF(JSA!O12=Hoja2!$C$6,Hoja2!$B$6,IF(JSA!O12=Hoja2!$C$5,Hoja2!$B$5,0)))))</f>
        <v>0</v>
      </c>
      <c r="Q12" s="18">
        <f t="shared" si="2"/>
        <v>0</v>
      </c>
      <c r="R12" s="20" t="str">
        <f>IF(ISERROR(VLOOKUP(Q12,Hoja2!$B$11:$C$23,2,FALSE)),"",VLOOKUP(JSA!Q12,Hoja2!$B$11:$C$23,2,FALSE))</f>
        <v/>
      </c>
      <c r="S12" s="29"/>
    </row>
    <row r="13" spans="1:19" s="8" customFormat="1" ht="62.25" customHeight="1" x14ac:dyDescent="0.25">
      <c r="A13" s="68"/>
      <c r="B13" s="69"/>
      <c r="C13" s="70"/>
      <c r="D13" s="21" t="s">
        <v>28</v>
      </c>
      <c r="E13" s="25"/>
      <c r="F13" s="18"/>
      <c r="G13" s="18">
        <f>IF(F13=Hoja2!$D$4,Hoja2!$D$3,IF(JSA!F13=Hoja2!$E$4,Hoja2!$E$3,IF(JSA!F13=Hoja2!$F$4,Hoja2!$F$3,IF(JSA!F13=Hoja2!$G$4,Hoja2!$G$3,0))))</f>
        <v>0</v>
      </c>
      <c r="H13" s="18"/>
      <c r="I13" s="18">
        <f>IF(H13=Hoja2!$C$9,Hoja2!$B$9,IF(JSA!H13=Hoja2!$C$8,Hoja2!$B$8,IF(JSA!H13=Hoja2!$C$7,Hoja2!$B$7,IF(JSA!H13=Hoja2!$C$6,Hoja2!$B$6,IF(JSA!H13=Hoja2!$C$5,Hoja2!$B$5,0)))))</f>
        <v>0</v>
      </c>
      <c r="J13" s="18">
        <f t="shared" si="1"/>
        <v>0</v>
      </c>
      <c r="K13" s="19" t="str">
        <f>IF(ISERROR(VLOOKUP(J13,Hoja2!$B$11:$C$23,2,FALSE)),"",VLOOKUP(JSA!J13,Hoja2!$B$11:$C$23,2,FALSE))</f>
        <v/>
      </c>
      <c r="L13" s="25"/>
      <c r="M13" s="18"/>
      <c r="N13" s="18">
        <f>IF(M13=Hoja2!$D$4,Hoja2!$D$3,IF(JSA!M13=Hoja2!$E$4,Hoja2!$E$3,IF(JSA!M13=Hoja2!$F$4,Hoja2!$F$3,IF(JSA!M13=Hoja2!$G$4,Hoja2!$G$3,0))))</f>
        <v>0</v>
      </c>
      <c r="O13" s="18"/>
      <c r="P13" s="18">
        <f>IF(O13=Hoja2!$C$9,Hoja2!$B$9,IF(JSA!O13=Hoja2!$C$8,Hoja2!$B$8,IF(JSA!O13=Hoja2!$C$7,Hoja2!$B$7,IF(JSA!O13=Hoja2!$C$6,Hoja2!$B$6,IF(JSA!O13=Hoja2!$C$5,Hoja2!$B$5,0)))))</f>
        <v>0</v>
      </c>
      <c r="Q13" s="18">
        <f t="shared" si="2"/>
        <v>0</v>
      </c>
      <c r="R13" s="20" t="str">
        <f>IF(ISERROR(VLOOKUP(Q13,Hoja2!$B$11:$C$23,2,FALSE)),"",VLOOKUP(JSA!Q13,Hoja2!$B$11:$C$23,2,FALSE))</f>
        <v/>
      </c>
      <c r="S13" s="24"/>
    </row>
    <row r="14" spans="1:19" s="8" customFormat="1" ht="62.25" customHeight="1" x14ac:dyDescent="0.25">
      <c r="A14" s="71"/>
      <c r="B14" s="72"/>
      <c r="C14" s="73"/>
      <c r="D14" s="21" t="s">
        <v>29</v>
      </c>
      <c r="E14" s="29"/>
      <c r="F14" s="18"/>
      <c r="G14" s="18">
        <f>IF(F14=Hoja2!$D$4,Hoja2!$D$3,IF(JSA!F14=Hoja2!$E$4,Hoja2!$E$3,IF(JSA!F14=Hoja2!$F$4,Hoja2!$F$3,IF(JSA!F14=Hoja2!$G$4,Hoja2!$G$3,0))))</f>
        <v>0</v>
      </c>
      <c r="H14" s="18"/>
      <c r="I14" s="18">
        <f>IF(H14=Hoja2!$C$9,Hoja2!$B$9,IF(JSA!H14=Hoja2!$C$8,Hoja2!$B$8,IF(JSA!H14=Hoja2!$C$7,Hoja2!$B$7,IF(JSA!H14=Hoja2!$C$6,Hoja2!$B$6,IF(JSA!H14=Hoja2!$C$5,Hoja2!$B$5,0)))))</f>
        <v>0</v>
      </c>
      <c r="J14" s="18">
        <f t="shared" si="1"/>
        <v>0</v>
      </c>
      <c r="K14" s="19" t="str">
        <f>IF(ISERROR(VLOOKUP(J14,Hoja2!$B$11:$C$23,2,FALSE)),"",VLOOKUP(JSA!J14,Hoja2!$B$11:$C$23,2,FALSE))</f>
        <v/>
      </c>
      <c r="L14" s="29"/>
      <c r="M14" s="18"/>
      <c r="N14" s="18">
        <f>IF(M14=Hoja2!$D$4,Hoja2!$D$3,IF(JSA!M14=Hoja2!$E$4,Hoja2!$E$3,IF(JSA!M14=Hoja2!$F$4,Hoja2!$F$3,IF(JSA!M14=Hoja2!$G$4,Hoja2!$G$3,0))))</f>
        <v>0</v>
      </c>
      <c r="O14" s="18"/>
      <c r="P14" s="18">
        <f>IF(O14=Hoja2!$C$9,Hoja2!$B$9,IF(JSA!O14=Hoja2!$C$8,Hoja2!$B$8,IF(JSA!O14=Hoja2!$C$7,Hoja2!$B$7,IF(JSA!O14=Hoja2!$C$6,Hoja2!$B$6,IF(JSA!O14=Hoja2!$C$5,Hoja2!$B$5,0)))))</f>
        <v>0</v>
      </c>
      <c r="Q14" s="18">
        <f t="shared" si="2"/>
        <v>0</v>
      </c>
      <c r="R14" s="20" t="str">
        <f>IF(ISERROR(VLOOKUP(Q14,Hoja2!$B$11:$C$23,2,FALSE)),"",VLOOKUP(JSA!Q14,Hoja2!$B$11:$C$23,2,FALSE))</f>
        <v/>
      </c>
      <c r="S14" s="29"/>
    </row>
    <row r="15" spans="1:19" s="8" customFormat="1" ht="62.25" customHeight="1" x14ac:dyDescent="0.25">
      <c r="A15" s="68"/>
      <c r="B15" s="69"/>
      <c r="C15" s="70"/>
      <c r="D15" s="21" t="s">
        <v>28</v>
      </c>
      <c r="E15" s="25"/>
      <c r="F15" s="18"/>
      <c r="G15" s="18">
        <f>IF(F15=Hoja2!$D$4,Hoja2!$D$3,IF(JSA!F15=Hoja2!$E$4,Hoja2!$E$3,IF(JSA!F15=Hoja2!$F$4,Hoja2!$F$3,IF(JSA!F15=Hoja2!$G$4,Hoja2!$G$3,0))))</f>
        <v>0</v>
      </c>
      <c r="H15" s="18"/>
      <c r="I15" s="18">
        <f>IF(H15=Hoja2!$C$9,Hoja2!$B$9,IF(JSA!H15=Hoja2!$C$8,Hoja2!$B$8,IF(JSA!H15=Hoja2!$C$7,Hoja2!$B$7,IF(JSA!H15=Hoja2!$C$6,Hoja2!$B$6,IF(JSA!H15=Hoja2!$C$5,Hoja2!$B$5,0)))))</f>
        <v>0</v>
      </c>
      <c r="J15" s="18">
        <f t="shared" si="1"/>
        <v>0</v>
      </c>
      <c r="K15" s="19" t="str">
        <f>IF(ISERROR(VLOOKUP(J15,Hoja2!$B$11:$C$23,2,FALSE)),"",VLOOKUP(JSA!J15,Hoja2!$B$11:$C$23,2,FALSE))</f>
        <v/>
      </c>
      <c r="L15" s="25"/>
      <c r="M15" s="18"/>
      <c r="N15" s="18">
        <f>IF(M15=Hoja2!$D$4,Hoja2!$D$3,IF(JSA!M15=Hoja2!$E$4,Hoja2!$E$3,IF(JSA!M15=Hoja2!$F$4,Hoja2!$F$3,IF(JSA!M15=Hoja2!$G$4,Hoja2!$G$3,0))))</f>
        <v>0</v>
      </c>
      <c r="O15" s="18"/>
      <c r="P15" s="18">
        <f>IF(O15=Hoja2!$C$9,Hoja2!$B$9,IF(JSA!O15=Hoja2!$C$8,Hoja2!$B$8,IF(JSA!O15=Hoja2!$C$7,Hoja2!$B$7,IF(JSA!O15=Hoja2!$C$6,Hoja2!$B$6,IF(JSA!O15=Hoja2!$C$5,Hoja2!$B$5,0)))))</f>
        <v>0</v>
      </c>
      <c r="Q15" s="18">
        <f t="shared" si="2"/>
        <v>0</v>
      </c>
      <c r="R15" s="20" t="str">
        <f>IF(ISERROR(VLOOKUP(Q15,Hoja2!$B$11:$C$23,2,FALSE)),"",VLOOKUP(JSA!Q15,Hoja2!$B$11:$C$23,2,FALSE))</f>
        <v/>
      </c>
      <c r="S15" s="23"/>
    </row>
    <row r="16" spans="1:19" s="8" customFormat="1" ht="62.25" customHeight="1" x14ac:dyDescent="0.25">
      <c r="A16" s="71"/>
      <c r="B16" s="72"/>
      <c r="C16" s="73"/>
      <c r="D16" s="21" t="s">
        <v>29</v>
      </c>
      <c r="E16" s="29"/>
      <c r="F16" s="18"/>
      <c r="G16" s="18">
        <f>IF(F16=Hoja2!$D$4,Hoja2!$D$3,IF(JSA!F16=Hoja2!$E$4,Hoja2!$E$3,IF(JSA!F16=Hoja2!$F$4,Hoja2!$F$3,IF(JSA!F16=Hoja2!$G$4,Hoja2!$G$3,0))))</f>
        <v>0</v>
      </c>
      <c r="H16" s="18"/>
      <c r="I16" s="18">
        <f>IF(H16=Hoja2!$C$9,Hoja2!$B$9,IF(JSA!H16=Hoja2!$C$8,Hoja2!$B$8,IF(JSA!H16=Hoja2!$C$7,Hoja2!$B$7,IF(JSA!H16=Hoja2!$C$6,Hoja2!$B$6,IF(JSA!H16=Hoja2!$C$5,Hoja2!$B$5,0)))))</f>
        <v>0</v>
      </c>
      <c r="J16" s="18">
        <f t="shared" si="1"/>
        <v>0</v>
      </c>
      <c r="K16" s="19" t="str">
        <f>IF(ISERROR(VLOOKUP(J16,Hoja2!$B$11:$C$23,2,FALSE)),"",VLOOKUP(JSA!J16,Hoja2!$B$11:$C$23,2,FALSE))</f>
        <v/>
      </c>
      <c r="L16" s="29"/>
      <c r="M16" s="18"/>
      <c r="N16" s="18">
        <f>IF(M16=Hoja2!$D$4,Hoja2!$D$3,IF(JSA!M16=Hoja2!$E$4,Hoja2!$E$3,IF(JSA!M16=Hoja2!$F$4,Hoja2!$F$3,IF(JSA!M16=Hoja2!$G$4,Hoja2!$G$3,0))))</f>
        <v>0</v>
      </c>
      <c r="O16" s="18"/>
      <c r="P16" s="18">
        <f>IF(O16=Hoja2!$C$9,Hoja2!$B$9,IF(JSA!O16=Hoja2!$C$8,Hoja2!$B$8,IF(JSA!O16=Hoja2!$C$7,Hoja2!$B$7,IF(JSA!O16=Hoja2!$C$6,Hoja2!$B$6,IF(JSA!O16=Hoja2!$C$5,Hoja2!$B$5,0)))))</f>
        <v>0</v>
      </c>
      <c r="Q16" s="18">
        <f t="shared" si="2"/>
        <v>0</v>
      </c>
      <c r="R16" s="20" t="str">
        <f>IF(ISERROR(VLOOKUP(Q16,Hoja2!$B$11:$C$23,2,FALSE)),"",VLOOKUP(JSA!Q16,Hoja2!$B$11:$C$23,2,FALSE))</f>
        <v/>
      </c>
      <c r="S16" s="29"/>
    </row>
    <row r="17" spans="1:19" s="8" customFormat="1" ht="62.25" customHeight="1" x14ac:dyDescent="0.25">
      <c r="A17" s="111"/>
      <c r="B17" s="111"/>
      <c r="C17" s="111"/>
      <c r="D17" s="21" t="s">
        <v>28</v>
      </c>
      <c r="E17" s="18"/>
      <c r="F17" s="18"/>
      <c r="G17" s="18">
        <f>IF(F17=Hoja2!$D$4,Hoja2!$D$3,IF(JSA!F17=Hoja2!$E$4,Hoja2!$E$3,IF(JSA!F17=Hoja2!$F$4,Hoja2!$F$3,IF(JSA!F17=Hoja2!$G$4,Hoja2!$G$3,0))))</f>
        <v>0</v>
      </c>
      <c r="H17" s="18"/>
      <c r="I17" s="18">
        <f>IF(H17=Hoja2!$C$9,Hoja2!$B$9,IF(JSA!H17=Hoja2!$C$8,Hoja2!$B$8,IF(JSA!H17=Hoja2!$C$7,Hoja2!$B$7,IF(JSA!H17=Hoja2!$C$6,Hoja2!$B$6,IF(JSA!H17=Hoja2!$C$5,Hoja2!$B$5,0)))))</f>
        <v>0</v>
      </c>
      <c r="J17" s="18">
        <f t="shared" si="1"/>
        <v>0</v>
      </c>
      <c r="K17" s="19" t="str">
        <f>IF(ISERROR(VLOOKUP(J17,Hoja2!$B$11:$C$23,2,FALSE)),"",VLOOKUP(JSA!J17,Hoja2!$B$11:$C$23,2,FALSE))</f>
        <v/>
      </c>
      <c r="L17" s="18"/>
      <c r="M17" s="18"/>
      <c r="N17" s="18">
        <f>IF(M17=Hoja2!$D$4,Hoja2!$D$3,IF(JSA!M17=Hoja2!$E$4,Hoja2!$E$3,IF(JSA!M17=Hoja2!$F$4,Hoja2!$F$3,IF(JSA!M17=Hoja2!$G$4,Hoja2!$G$3,0))))</f>
        <v>0</v>
      </c>
      <c r="O17" s="18"/>
      <c r="P17" s="18">
        <f>IF(O17=Hoja2!$C$9,Hoja2!$B$9,IF(JSA!O17=Hoja2!$C$8,Hoja2!$B$8,IF(JSA!O17=Hoja2!$C$7,Hoja2!$B$7,IF(JSA!O17=Hoja2!$C$6,Hoja2!$B$6,IF(JSA!O17=Hoja2!$C$5,Hoja2!$B$5,0)))))</f>
        <v>0</v>
      </c>
      <c r="Q17" s="18">
        <f t="shared" si="2"/>
        <v>0</v>
      </c>
      <c r="R17" s="20" t="str">
        <f>IF(ISERROR(VLOOKUP(Q17,Hoja2!$B$11:$C$23,2,FALSE)),"",VLOOKUP(JSA!Q17,Hoja2!$B$11:$C$23,2,FALSE))</f>
        <v/>
      </c>
      <c r="S17" s="26"/>
    </row>
    <row r="18" spans="1:19" s="8" customFormat="1" ht="62.25" customHeight="1" x14ac:dyDescent="0.25">
      <c r="A18" s="111"/>
      <c r="B18" s="111"/>
      <c r="C18" s="111"/>
      <c r="D18" s="21" t="s">
        <v>29</v>
      </c>
      <c r="E18" s="29"/>
      <c r="F18" s="18"/>
      <c r="G18" s="18">
        <f>IF(F18=Hoja2!$D$4,Hoja2!$D$3,IF(JSA!F18=Hoja2!$E$4,Hoja2!$E$3,IF(JSA!F18=Hoja2!$F$4,Hoja2!$F$3,IF(JSA!F18=Hoja2!$G$4,Hoja2!$G$3,0))))</f>
        <v>0</v>
      </c>
      <c r="H18" s="18"/>
      <c r="I18" s="18">
        <f>IF(H18=Hoja2!$C$9,Hoja2!$B$9,IF(JSA!H18=Hoja2!$C$8,Hoja2!$B$8,IF(JSA!H18=Hoja2!$C$7,Hoja2!$B$7,IF(JSA!H18=Hoja2!$C$6,Hoja2!$B$6,IF(JSA!H18=Hoja2!$C$5,Hoja2!$B$5,0)))))</f>
        <v>0</v>
      </c>
      <c r="J18" s="18">
        <f t="shared" si="1"/>
        <v>0</v>
      </c>
      <c r="K18" s="19" t="str">
        <f>IF(ISERROR(VLOOKUP(J18,Hoja2!$B$11:$C$23,2,FALSE)),"",VLOOKUP(JSA!J18,Hoja2!$B$11:$C$23,2,FALSE))</f>
        <v/>
      </c>
      <c r="L18" s="29"/>
      <c r="M18" s="18"/>
      <c r="N18" s="18">
        <f>IF(M18=Hoja2!$D$4,Hoja2!$D$3,IF(JSA!M18=Hoja2!$E$4,Hoja2!$E$3,IF(JSA!M18=Hoja2!$F$4,Hoja2!$F$3,IF(JSA!M18=Hoja2!$G$4,Hoja2!$G$3,0))))</f>
        <v>0</v>
      </c>
      <c r="O18" s="18"/>
      <c r="P18" s="18">
        <f>IF(O18=Hoja2!$C$9,Hoja2!$B$9,IF(JSA!O18=Hoja2!$C$8,Hoja2!$B$8,IF(JSA!O18=Hoja2!$C$7,Hoja2!$B$7,IF(JSA!O18=Hoja2!$C$6,Hoja2!$B$6,IF(JSA!O18=Hoja2!$C$5,Hoja2!$B$5,0)))))</f>
        <v>0</v>
      </c>
      <c r="Q18" s="18">
        <f t="shared" si="2"/>
        <v>0</v>
      </c>
      <c r="R18" s="20" t="str">
        <f>IF(ISERROR(VLOOKUP(Q18,Hoja2!$B$11:$C$23,2,FALSE)),"",VLOOKUP(JSA!Q18,Hoja2!$B$11:$C$23,2,FALSE))</f>
        <v/>
      </c>
      <c r="S18" s="29"/>
    </row>
    <row r="19" spans="1:19" s="8" customFormat="1" ht="62.25" customHeight="1" x14ac:dyDescent="0.25">
      <c r="A19" s="111"/>
      <c r="B19" s="111"/>
      <c r="C19" s="111"/>
      <c r="D19" s="21" t="s">
        <v>28</v>
      </c>
      <c r="E19" s="18"/>
      <c r="F19" s="18"/>
      <c r="G19" s="18">
        <f>IF(F19=Hoja2!$D$4,Hoja2!$D$3,IF(JSA!F19=Hoja2!$E$4,Hoja2!$E$3,IF(JSA!F19=Hoja2!$F$4,Hoja2!$F$3,IF(JSA!F19=Hoja2!$G$4,Hoja2!$G$3,0))))</f>
        <v>0</v>
      </c>
      <c r="H19" s="18"/>
      <c r="I19" s="18">
        <f>IF(H19=Hoja2!$C$9,Hoja2!$B$9,IF(JSA!H19=Hoja2!$C$8,Hoja2!$B$8,IF(JSA!H19=Hoja2!$C$7,Hoja2!$B$7,IF(JSA!H19=Hoja2!$C$6,Hoja2!$B$6,IF(JSA!H19=Hoja2!$C$5,Hoja2!$B$5,0)))))</f>
        <v>0</v>
      </c>
      <c r="J19" s="18">
        <f t="shared" si="1"/>
        <v>0</v>
      </c>
      <c r="K19" s="19" t="str">
        <f>IF(ISERROR(VLOOKUP(J19,Hoja2!$B$11:$C$23,2,FALSE)),"",VLOOKUP(JSA!J19,Hoja2!$B$11:$C$23,2,FALSE))</f>
        <v/>
      </c>
      <c r="L19" s="18"/>
      <c r="M19" s="18"/>
      <c r="N19" s="18">
        <f>IF(M19=Hoja2!$D$4,Hoja2!$D$3,IF(JSA!M19=Hoja2!$E$4,Hoja2!$E$3,IF(JSA!M19=Hoja2!$F$4,Hoja2!$F$3,IF(JSA!M19=Hoja2!$G$4,Hoja2!$G$3,0))))</f>
        <v>0</v>
      </c>
      <c r="O19" s="18"/>
      <c r="P19" s="18">
        <f>IF(O19=Hoja2!$C$9,Hoja2!$B$9,IF(JSA!O19=Hoja2!$C$8,Hoja2!$B$8,IF(JSA!O19=Hoja2!$C$7,Hoja2!$B$7,IF(JSA!O19=Hoja2!$C$6,Hoja2!$B$6,IF(JSA!O19=Hoja2!$C$5,Hoja2!$B$5,0)))))</f>
        <v>0</v>
      </c>
      <c r="Q19" s="18">
        <f t="shared" si="2"/>
        <v>0</v>
      </c>
      <c r="R19" s="20" t="str">
        <f>IF(ISERROR(VLOOKUP(Q19,Hoja2!$B$11:$C$23,2,FALSE)),"",VLOOKUP(JSA!Q19,Hoja2!$B$11:$C$23,2,FALSE))</f>
        <v/>
      </c>
      <c r="S19" s="26"/>
    </row>
    <row r="20" spans="1:19" s="8" customFormat="1" ht="62.25" customHeight="1" x14ac:dyDescent="0.25">
      <c r="A20" s="111"/>
      <c r="B20" s="111"/>
      <c r="C20" s="111"/>
      <c r="D20" s="21" t="s">
        <v>29</v>
      </c>
      <c r="E20" s="29"/>
      <c r="F20" s="18"/>
      <c r="G20" s="18">
        <f>IF(F20=Hoja2!$D$4,Hoja2!$D$3,IF(JSA!F20=Hoja2!$E$4,Hoja2!$E$3,IF(JSA!F20=Hoja2!$F$4,Hoja2!$F$3,IF(JSA!F20=Hoja2!$G$4,Hoja2!$G$3,0))))</f>
        <v>0</v>
      </c>
      <c r="H20" s="18"/>
      <c r="I20" s="18">
        <f>IF(H20=Hoja2!$C$9,Hoja2!$B$9,IF(JSA!H20=Hoja2!$C$8,Hoja2!$B$8,IF(JSA!H20=Hoja2!$C$7,Hoja2!$B$7,IF(JSA!H20=Hoja2!$C$6,Hoja2!$B$6,IF(JSA!H20=Hoja2!$C$5,Hoja2!$B$5,0)))))</f>
        <v>0</v>
      </c>
      <c r="J20" s="18">
        <f t="shared" si="1"/>
        <v>0</v>
      </c>
      <c r="K20" s="19" t="str">
        <f>IF(ISERROR(VLOOKUP(J20,Hoja2!$B$11:$C$23,2,FALSE)),"",VLOOKUP(JSA!J20,Hoja2!$B$11:$C$23,2,FALSE))</f>
        <v/>
      </c>
      <c r="L20" s="29"/>
      <c r="M20" s="18"/>
      <c r="N20" s="18">
        <f>IF(M20=Hoja2!$D$4,Hoja2!$D$3,IF(JSA!M20=Hoja2!$E$4,Hoja2!$E$3,IF(JSA!M20=Hoja2!$F$4,Hoja2!$F$3,IF(JSA!M20=Hoja2!$G$4,Hoja2!$G$3,0))))</f>
        <v>0</v>
      </c>
      <c r="O20" s="18"/>
      <c r="P20" s="18">
        <f>IF(O20=Hoja2!$C$9,Hoja2!$B$9,IF(JSA!O20=Hoja2!$C$8,Hoja2!$B$8,IF(JSA!O20=Hoja2!$C$7,Hoja2!$B$7,IF(JSA!O20=Hoja2!$C$6,Hoja2!$B$6,IF(JSA!O20=Hoja2!$C$5,Hoja2!$B$5,0)))))</f>
        <v>0</v>
      </c>
      <c r="Q20" s="18">
        <f t="shared" si="2"/>
        <v>0</v>
      </c>
      <c r="R20" s="20" t="str">
        <f>IF(ISERROR(VLOOKUP(Q20,Hoja2!$B$11:$C$23,2,FALSE)),"",VLOOKUP(JSA!Q20,Hoja2!$B$11:$C$23,2,FALSE))</f>
        <v/>
      </c>
      <c r="S20" s="29"/>
    </row>
    <row r="21" spans="1:19" s="8" customFormat="1" ht="62.25" customHeight="1" x14ac:dyDescent="0.25">
      <c r="A21" s="111"/>
      <c r="B21" s="111"/>
      <c r="C21" s="111"/>
      <c r="D21" s="21" t="s">
        <v>28</v>
      </c>
      <c r="E21" s="18"/>
      <c r="F21" s="18"/>
      <c r="G21" s="18">
        <f>IF(F21=Hoja2!$D$4,Hoja2!$D$3,IF(JSA!F21=Hoja2!$E$4,Hoja2!$E$3,IF(JSA!F21=Hoja2!$F$4,Hoja2!$F$3,IF(JSA!F21=Hoja2!$G$4,Hoja2!$G$3,0))))</f>
        <v>0</v>
      </c>
      <c r="H21" s="18"/>
      <c r="I21" s="18">
        <f>IF(H21=Hoja2!$C$9,Hoja2!$B$9,IF(JSA!H21=Hoja2!$C$8,Hoja2!$B$8,IF(JSA!H21=Hoja2!$C$7,Hoja2!$B$7,IF(JSA!H21=Hoja2!$C$6,Hoja2!$B$6,IF(JSA!H21=Hoja2!$C$5,Hoja2!$B$5,0)))))</f>
        <v>0</v>
      </c>
      <c r="J21" s="18">
        <f t="shared" si="1"/>
        <v>0</v>
      </c>
      <c r="K21" s="19" t="str">
        <f>IF(ISERROR(VLOOKUP(J21,Hoja2!$B$11:$C$23,2,FALSE)),"",VLOOKUP(JSA!J21,Hoja2!$B$11:$C$23,2,FALSE))</f>
        <v/>
      </c>
      <c r="L21" s="18"/>
      <c r="M21" s="18"/>
      <c r="N21" s="18">
        <f>IF(M21=Hoja2!$D$4,Hoja2!$D$3,IF(JSA!M21=Hoja2!$E$4,Hoja2!$E$3,IF(JSA!M21=Hoja2!$F$4,Hoja2!$F$3,IF(JSA!M21=Hoja2!$G$4,Hoja2!$G$3,0))))</f>
        <v>0</v>
      </c>
      <c r="O21" s="18"/>
      <c r="P21" s="18">
        <f>IF(O21=Hoja2!$C$9,Hoja2!$B$9,IF(JSA!O21=Hoja2!$C$8,Hoja2!$B$8,IF(JSA!O21=Hoja2!$C$7,Hoja2!$B$7,IF(JSA!O21=Hoja2!$C$6,Hoja2!$B$6,IF(JSA!O21=Hoja2!$C$5,Hoja2!$B$5,0)))))</f>
        <v>0</v>
      </c>
      <c r="Q21" s="18">
        <f t="shared" si="2"/>
        <v>0</v>
      </c>
      <c r="R21" s="20" t="str">
        <f>IF(ISERROR(VLOOKUP(Q21,Hoja2!$B$11:$C$23,2,FALSE)),"",VLOOKUP(JSA!Q21,Hoja2!$B$11:$C$23,2,FALSE))</f>
        <v/>
      </c>
      <c r="S21" s="26"/>
    </row>
    <row r="22" spans="1:19" s="8" customFormat="1" ht="62.25" customHeight="1" x14ac:dyDescent="0.25">
      <c r="A22" s="111"/>
      <c r="B22" s="111"/>
      <c r="C22" s="111"/>
      <c r="D22" s="21" t="s">
        <v>29</v>
      </c>
      <c r="E22" s="29"/>
      <c r="F22" s="18"/>
      <c r="G22" s="18">
        <f>IF(F22=Hoja2!$D$4,Hoja2!$D$3,IF(JSA!F22=Hoja2!$E$4,Hoja2!$E$3,IF(JSA!F22=Hoja2!$F$4,Hoja2!$F$3,IF(JSA!F22=Hoja2!$G$4,Hoja2!$G$3,0))))</f>
        <v>0</v>
      </c>
      <c r="H22" s="18"/>
      <c r="I22" s="18">
        <f>IF(H22=Hoja2!$C$9,Hoja2!$B$9,IF(JSA!H22=Hoja2!$C$8,Hoja2!$B$8,IF(JSA!H22=Hoja2!$C$7,Hoja2!$B$7,IF(JSA!H22=Hoja2!$C$6,Hoja2!$B$6,IF(JSA!H22=Hoja2!$C$5,Hoja2!$B$5,0)))))</f>
        <v>0</v>
      </c>
      <c r="J22" s="18">
        <f t="shared" si="1"/>
        <v>0</v>
      </c>
      <c r="K22" s="19" t="str">
        <f>IF(ISERROR(VLOOKUP(J22,Hoja2!$B$11:$C$23,2,FALSE)),"",VLOOKUP(JSA!J22,Hoja2!$B$11:$C$23,2,FALSE))</f>
        <v/>
      </c>
      <c r="L22" s="29"/>
      <c r="M22" s="18"/>
      <c r="N22" s="18">
        <f>IF(M22=Hoja2!$D$4,Hoja2!$D$3,IF(JSA!M22=Hoja2!$E$4,Hoja2!$E$3,IF(JSA!M22=Hoja2!$F$4,Hoja2!$F$3,IF(JSA!M22=Hoja2!$G$4,Hoja2!$G$3,0))))</f>
        <v>0</v>
      </c>
      <c r="O22" s="18"/>
      <c r="P22" s="18">
        <f>IF(O22=Hoja2!$C$9,Hoja2!$B$9,IF(JSA!O22=Hoja2!$C$8,Hoja2!$B$8,IF(JSA!O22=Hoja2!$C$7,Hoja2!$B$7,IF(JSA!O22=Hoja2!$C$6,Hoja2!$B$6,IF(JSA!O22=Hoja2!$C$5,Hoja2!$B$5,0)))))</f>
        <v>0</v>
      </c>
      <c r="Q22" s="18">
        <f t="shared" si="2"/>
        <v>0</v>
      </c>
      <c r="R22" s="20" t="str">
        <f>IF(ISERROR(VLOOKUP(Q22,Hoja2!$B$11:$C$23,2,FALSE)),"",VLOOKUP(JSA!Q22,Hoja2!$B$11:$C$23,2,FALSE))</f>
        <v/>
      </c>
      <c r="S22" s="29"/>
    </row>
    <row r="23" spans="1:19" s="8" customFormat="1" ht="62.25" customHeight="1" x14ac:dyDescent="0.25">
      <c r="A23" s="111"/>
      <c r="B23" s="111"/>
      <c r="C23" s="111"/>
      <c r="D23" s="21" t="s">
        <v>28</v>
      </c>
      <c r="E23" s="18"/>
      <c r="F23" s="18"/>
      <c r="G23" s="18">
        <f>IF(F23=Hoja2!$D$4,Hoja2!$D$3,IF(JSA!F23=Hoja2!$E$4,Hoja2!$E$3,IF(JSA!F23=Hoja2!$F$4,Hoja2!$F$3,IF(JSA!F23=Hoja2!$G$4,Hoja2!$G$3,0))))</f>
        <v>0</v>
      </c>
      <c r="H23" s="18"/>
      <c r="I23" s="18">
        <f>IF(H23=Hoja2!$C$9,Hoja2!$B$9,IF(JSA!H23=Hoja2!$C$8,Hoja2!$B$8,IF(JSA!H23=Hoja2!$C$7,Hoja2!$B$7,IF(JSA!H23=Hoja2!$C$6,Hoja2!$B$6,IF(JSA!H23=Hoja2!$C$5,Hoja2!$B$5,0)))))</f>
        <v>0</v>
      </c>
      <c r="J23" s="18">
        <f t="shared" si="1"/>
        <v>0</v>
      </c>
      <c r="K23" s="19" t="str">
        <f>IF(ISERROR(VLOOKUP(J23,Hoja2!$B$11:$C$23,2,FALSE)),"",VLOOKUP(JSA!J23,Hoja2!$B$11:$C$23,2,FALSE))</f>
        <v/>
      </c>
      <c r="L23" s="18"/>
      <c r="M23" s="18"/>
      <c r="N23" s="18">
        <f>IF(M23=Hoja2!$D$4,Hoja2!$D$3,IF(JSA!M23=Hoja2!$E$4,Hoja2!$E$3,IF(JSA!M23=Hoja2!$F$4,Hoja2!$F$3,IF(JSA!M23=Hoja2!$G$4,Hoja2!$G$3,0))))</f>
        <v>0</v>
      </c>
      <c r="O23" s="18"/>
      <c r="P23" s="18">
        <f>IF(O23=Hoja2!$C$9,Hoja2!$B$9,IF(JSA!O23=Hoja2!$C$8,Hoja2!$B$8,IF(JSA!O23=Hoja2!$C$7,Hoja2!$B$7,IF(JSA!O23=Hoja2!$C$6,Hoja2!$B$6,IF(JSA!O23=Hoja2!$C$5,Hoja2!$B$5,0)))))</f>
        <v>0</v>
      </c>
      <c r="Q23" s="18">
        <f t="shared" si="2"/>
        <v>0</v>
      </c>
      <c r="R23" s="20" t="str">
        <f>IF(ISERROR(VLOOKUP(Q23,Hoja2!$B$11:$C$23,2,FALSE)),"",VLOOKUP(JSA!Q23,Hoja2!$B$11:$C$23,2,FALSE))</f>
        <v/>
      </c>
      <c r="S23" s="26"/>
    </row>
    <row r="24" spans="1:19" s="8" customFormat="1" ht="62.25" customHeight="1" x14ac:dyDescent="0.25">
      <c r="A24" s="111"/>
      <c r="B24" s="111"/>
      <c r="C24" s="111"/>
      <c r="D24" s="21" t="s">
        <v>29</v>
      </c>
      <c r="E24" s="29"/>
      <c r="F24" s="18"/>
      <c r="G24" s="18">
        <f>IF(F24=Hoja2!$D$4,Hoja2!$D$3,IF(JSA!F24=Hoja2!$E$4,Hoja2!$E$3,IF(JSA!F24=Hoja2!$F$4,Hoja2!$F$3,IF(JSA!F24=Hoja2!$G$4,Hoja2!$G$3,0))))</f>
        <v>0</v>
      </c>
      <c r="H24" s="18"/>
      <c r="I24" s="18">
        <f>IF(H24=Hoja2!$C$9,Hoja2!$B$9,IF(JSA!H24=Hoja2!$C$8,Hoja2!$B$8,IF(JSA!H24=Hoja2!$C$7,Hoja2!$B$7,IF(JSA!H24=Hoja2!$C$6,Hoja2!$B$6,IF(JSA!H24=Hoja2!$C$5,Hoja2!$B$5,0)))))</f>
        <v>0</v>
      </c>
      <c r="J24" s="18">
        <f t="shared" si="1"/>
        <v>0</v>
      </c>
      <c r="K24" s="19" t="str">
        <f>IF(ISERROR(VLOOKUP(J24,Hoja2!$B$11:$C$23,2,FALSE)),"",VLOOKUP(JSA!J24,Hoja2!$B$11:$C$23,2,FALSE))</f>
        <v/>
      </c>
      <c r="L24" s="29"/>
      <c r="M24" s="18"/>
      <c r="N24" s="18">
        <f>IF(M24=Hoja2!$D$4,Hoja2!$D$3,IF(JSA!M24=Hoja2!$E$4,Hoja2!$E$3,IF(JSA!M24=Hoja2!$F$4,Hoja2!$F$3,IF(JSA!M24=Hoja2!$G$4,Hoja2!$G$3,0))))</f>
        <v>0</v>
      </c>
      <c r="O24" s="18"/>
      <c r="P24" s="18">
        <f>IF(O24=Hoja2!$C$9,Hoja2!$B$9,IF(JSA!O24=Hoja2!$C$8,Hoja2!$B$8,IF(JSA!O24=Hoja2!$C$7,Hoja2!$B$7,IF(JSA!O24=Hoja2!$C$6,Hoja2!$B$6,IF(JSA!O24=Hoja2!$C$5,Hoja2!$B$5,0)))))</f>
        <v>0</v>
      </c>
      <c r="Q24" s="18">
        <f t="shared" si="2"/>
        <v>0</v>
      </c>
      <c r="R24" s="20" t="str">
        <f>IF(ISERROR(VLOOKUP(Q24,Hoja2!$B$11:$C$23,2,FALSE)),"",VLOOKUP(JSA!Q24,Hoja2!$B$11:$C$23,2,FALSE))</f>
        <v/>
      </c>
      <c r="S24" s="29"/>
    </row>
    <row r="25" spans="1:19" s="8" customFormat="1" ht="63" customHeight="1" x14ac:dyDescent="0.25">
      <c r="A25" s="114"/>
      <c r="B25" s="114"/>
      <c r="C25" s="115"/>
      <c r="D25" s="21" t="s">
        <v>28</v>
      </c>
      <c r="E25" s="18"/>
      <c r="F25" s="18"/>
      <c r="G25" s="18">
        <f>IF(F25=Hoja2!$D$4,Hoja2!$D$3,IF(JSA!F25=Hoja2!$E$4,Hoja2!$E$3,IF(JSA!F25=Hoja2!$F$4,Hoja2!$F$3,IF(JSA!F25=Hoja2!$G$4,Hoja2!$G$3,0))))</f>
        <v>0</v>
      </c>
      <c r="H25" s="18"/>
      <c r="I25" s="18">
        <f>IF(H25=Hoja2!$C$9,Hoja2!$B$9,IF(JSA!H25=Hoja2!$C$8,Hoja2!$B$8,IF(JSA!H25=Hoja2!$C$7,Hoja2!$B$7,IF(JSA!H25=Hoja2!$C$6,Hoja2!$B$6,IF(JSA!H25=Hoja2!$C$5,Hoja2!$B$5,0)))))</f>
        <v>0</v>
      </c>
      <c r="J25" s="18">
        <f t="shared" si="1"/>
        <v>0</v>
      </c>
      <c r="K25" s="19" t="str">
        <f>IF(ISERROR(VLOOKUP(J25,Hoja2!$B$11:$C$23,2,FALSE)),"",VLOOKUP(JSA!J25,Hoja2!$B$11:$C$23,2,FALSE))</f>
        <v/>
      </c>
      <c r="L25" s="18"/>
      <c r="M25" s="18"/>
      <c r="N25" s="18"/>
      <c r="O25" s="18"/>
      <c r="P25" s="18"/>
      <c r="Q25" s="18"/>
      <c r="R25" s="20"/>
      <c r="S25" s="26"/>
    </row>
    <row r="26" spans="1:19" s="8" customFormat="1" ht="63" customHeight="1" x14ac:dyDescent="0.25">
      <c r="A26" s="116"/>
      <c r="B26" s="116"/>
      <c r="C26" s="117"/>
      <c r="D26" s="21" t="s">
        <v>29</v>
      </c>
      <c r="E26" s="29"/>
      <c r="F26" s="18"/>
      <c r="G26" s="18"/>
      <c r="H26" s="18"/>
      <c r="I26" s="18">
        <f>IF(H26=Hoja2!$C$9,Hoja2!$B$9,IF(JSA!H26=Hoja2!$C$8,Hoja2!$B$8,IF(JSA!H26=Hoja2!$C$7,Hoja2!$B$7,IF(JSA!H26=Hoja2!$C$6,Hoja2!$B$6,IF(JSA!H26=Hoja2!$C$5,Hoja2!$B$5,0)))))</f>
        <v>0</v>
      </c>
      <c r="J26" s="18">
        <f t="shared" si="1"/>
        <v>0</v>
      </c>
      <c r="K26" s="19" t="str">
        <f>IF(ISERROR(VLOOKUP(J26,Hoja2!$B$11:$C$23,2,FALSE)),"",VLOOKUP(JSA!J26,Hoja2!$B$11:$C$23,2,FALSE))</f>
        <v/>
      </c>
      <c r="L26" s="29"/>
      <c r="M26" s="18"/>
      <c r="N26" s="18"/>
      <c r="O26" s="18"/>
      <c r="P26" s="18"/>
      <c r="Q26" s="18"/>
      <c r="R26" s="20"/>
      <c r="S26" s="29"/>
    </row>
    <row r="27" spans="1:19" s="8" customFormat="1" ht="63.6" customHeight="1" x14ac:dyDescent="0.25">
      <c r="A27" s="68"/>
      <c r="B27" s="69"/>
      <c r="C27" s="70"/>
      <c r="D27" s="21" t="s">
        <v>28</v>
      </c>
      <c r="E27" s="25"/>
      <c r="F27" s="18"/>
      <c r="G27" s="18"/>
      <c r="H27" s="18"/>
      <c r="I27" s="18">
        <f>IF(H27=Hoja2!$C$9,Hoja2!$B$9,IF(JSA!H27=Hoja2!$C$8,Hoja2!$B$8,IF(JSA!H27=Hoja2!$C$7,Hoja2!$B$7,IF(JSA!H27=Hoja2!$C$6,Hoja2!$B$6,IF(JSA!H27=Hoja2!$C$5,Hoja2!$B$5,0)))))</f>
        <v>0</v>
      </c>
      <c r="J27" s="18">
        <f t="shared" si="1"/>
        <v>0</v>
      </c>
      <c r="K27" s="19" t="str">
        <f>IF(ISERROR(VLOOKUP(J27,Hoja2!$B$11:$C$23,2,FALSE)),"",VLOOKUP(JSA!J27,Hoja2!$B$11:$C$23,2,FALSE))</f>
        <v/>
      </c>
      <c r="L27" s="25"/>
      <c r="M27" s="18"/>
      <c r="N27" s="18">
        <f>IF(M27=Hoja2!$D$4,Hoja2!$D$3,IF(JSA!M27=Hoja2!$E$4,Hoja2!$E$3,IF(JSA!M27=Hoja2!$F$4,Hoja2!$F$3,IF(JSA!M27=Hoja2!$G$4,Hoja2!$G$3,0))))</f>
        <v>0</v>
      </c>
      <c r="O27" s="18"/>
      <c r="P27" s="18">
        <f>IF(O27=Hoja2!$C$9,Hoja2!$B$9,IF(JSA!O27=Hoja2!$C$8,Hoja2!$B$8,IF(JSA!O27=Hoja2!$C$7,Hoja2!$B$7,IF(JSA!O27=Hoja2!$C$6,Hoja2!$B$6,IF(JSA!O27=Hoja2!$C$5,Hoja2!$B$5,0)))))</f>
        <v>0</v>
      </c>
      <c r="Q27" s="18">
        <f t="shared" si="2"/>
        <v>0</v>
      </c>
      <c r="R27" s="20" t="str">
        <f>IF(ISERROR(VLOOKUP(Q27,Hoja2!$B$11:$C$23,2,FALSE)),"",VLOOKUP(JSA!Q27,Hoja2!$B$11:$C$23,2,FALSE))</f>
        <v/>
      </c>
      <c r="S27" s="23"/>
    </row>
    <row r="28" spans="1:19" s="8" customFormat="1" ht="63.6" customHeight="1" x14ac:dyDescent="0.25">
      <c r="A28" s="71"/>
      <c r="B28" s="72"/>
      <c r="C28" s="73"/>
      <c r="D28" s="21" t="s">
        <v>29</v>
      </c>
      <c r="E28" s="29"/>
      <c r="F28" s="18"/>
      <c r="G28" s="18">
        <f>IF(F28=Hoja2!$D$4,Hoja2!$D$3,IF(JSA!F28=Hoja2!$E$4,Hoja2!$E$3,IF(JSA!F28=Hoja2!$F$4,Hoja2!$F$3,IF(JSA!F28=Hoja2!$G$4,Hoja2!$G$3,0))))</f>
        <v>0</v>
      </c>
      <c r="H28" s="18"/>
      <c r="I28" s="18">
        <f>IF(H28=Hoja2!$C$9,Hoja2!$B$9,IF(JSA!H28=Hoja2!$C$8,Hoja2!$B$8,IF(JSA!H28=Hoja2!$C$7,Hoja2!$B$7,IF(JSA!H28=Hoja2!$C$6,Hoja2!$B$6,IF(JSA!H28=Hoja2!$C$5,Hoja2!$B$5,0)))))</f>
        <v>0</v>
      </c>
      <c r="J28" s="18">
        <f t="shared" si="1"/>
        <v>0</v>
      </c>
      <c r="K28" s="19" t="str">
        <f>IF(ISERROR(VLOOKUP(J28,Hoja2!$B$11:$C$23,2,FALSE)),"",VLOOKUP(JSA!J28,Hoja2!$B$11:$C$23,2,FALSE))</f>
        <v/>
      </c>
      <c r="L28" s="29"/>
      <c r="M28" s="18"/>
      <c r="N28" s="18">
        <f>IF(M28=Hoja2!$D$4,Hoja2!$D$3,IF(JSA!M28=Hoja2!$E$4,Hoja2!$E$3,IF(JSA!M28=Hoja2!$F$4,Hoja2!$F$3,IF(JSA!M28=Hoja2!$G$4,Hoja2!$G$3,0))))</f>
        <v>0</v>
      </c>
      <c r="O28" s="18"/>
      <c r="P28" s="18">
        <f>IF(O28=Hoja2!$C$9,Hoja2!$B$9,IF(JSA!O28=Hoja2!$C$8,Hoja2!$B$8,IF(JSA!O28=Hoja2!$C$7,Hoja2!$B$7,IF(JSA!O28=Hoja2!$C$6,Hoja2!$B$6,IF(JSA!O28=Hoja2!$C$5,Hoja2!$B$5,0)))))</f>
        <v>0</v>
      </c>
      <c r="Q28" s="18">
        <f t="shared" si="2"/>
        <v>0</v>
      </c>
      <c r="R28" s="20" t="str">
        <f>IF(ISERROR(VLOOKUP(Q28,Hoja2!$B$11:$C$23,2,FALSE)),"",VLOOKUP(JSA!Q28,Hoja2!$B$11:$C$23,2,FALSE))</f>
        <v/>
      </c>
      <c r="S28" s="29"/>
    </row>
    <row r="29" spans="1:19" s="9" customFormat="1" ht="59.65" customHeight="1" x14ac:dyDescent="0.25">
      <c r="A29" s="74" t="s">
        <v>39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6"/>
    </row>
    <row r="30" spans="1:19" s="9" customFormat="1" x14ac:dyDescent="0.25">
      <c r="A30" s="42" t="s">
        <v>17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37"/>
      <c r="M30" s="43" t="s">
        <v>18</v>
      </c>
      <c r="N30" s="43"/>
      <c r="O30" s="43"/>
      <c r="P30" s="43"/>
      <c r="Q30" s="43"/>
      <c r="R30" s="43"/>
      <c r="S30" s="79"/>
    </row>
    <row r="31" spans="1:19" s="9" customFormat="1" ht="39" customHeight="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37"/>
      <c r="M31" s="43"/>
      <c r="N31" s="43"/>
      <c r="O31" s="43"/>
      <c r="P31" s="43"/>
      <c r="Q31" s="43"/>
      <c r="R31" s="43"/>
      <c r="S31" s="79"/>
    </row>
    <row r="32" spans="1:19" s="9" customFormat="1" ht="39" customHeight="1" x14ac:dyDescent="0.2">
      <c r="A32" s="51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27"/>
      <c r="M32" s="38"/>
      <c r="N32" s="38"/>
      <c r="O32" s="38"/>
      <c r="P32" s="38"/>
      <c r="Q32" s="38"/>
      <c r="R32" s="38"/>
      <c r="S32" s="39"/>
    </row>
    <row r="33" spans="1:19" s="9" customFormat="1" ht="39" customHeight="1" x14ac:dyDescent="0.2">
      <c r="A33" s="112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27"/>
      <c r="M33" s="33"/>
      <c r="N33" s="33"/>
      <c r="O33" s="33"/>
      <c r="P33" s="33"/>
      <c r="Q33" s="33"/>
      <c r="R33" s="33"/>
      <c r="S33" s="35"/>
    </row>
    <row r="34" spans="1:19" s="9" customFormat="1" ht="39" customHeight="1" x14ac:dyDescent="0.2">
      <c r="A34" s="51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27"/>
      <c r="M34" s="40"/>
      <c r="N34" s="40"/>
      <c r="O34" s="40"/>
      <c r="P34" s="40"/>
      <c r="Q34" s="40"/>
      <c r="R34" s="40"/>
      <c r="S34" s="41"/>
    </row>
    <row r="35" spans="1:19" s="9" customFormat="1" ht="39" customHeight="1" x14ac:dyDescent="0.2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27"/>
      <c r="M35" s="38"/>
      <c r="N35" s="38"/>
      <c r="O35" s="38"/>
      <c r="P35" s="38"/>
      <c r="Q35" s="38"/>
      <c r="R35" s="38"/>
      <c r="S35" s="39"/>
    </row>
    <row r="36" spans="1:19" s="9" customFormat="1" ht="39" customHeight="1" x14ac:dyDescent="0.2">
      <c r="A36" s="51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27"/>
      <c r="M36" s="38"/>
      <c r="N36" s="38"/>
      <c r="O36" s="38"/>
      <c r="P36" s="38"/>
      <c r="Q36" s="38"/>
      <c r="R36" s="38"/>
      <c r="S36" s="39"/>
    </row>
    <row r="37" spans="1:19" s="9" customFormat="1" ht="39" customHeight="1" thickBot="1" x14ac:dyDescent="0.25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27"/>
      <c r="M37" s="34"/>
      <c r="N37" s="34"/>
      <c r="O37" s="34"/>
      <c r="P37" s="34"/>
      <c r="Q37" s="34"/>
      <c r="R37" s="34"/>
      <c r="S37" s="36"/>
    </row>
    <row r="38" spans="1:19" s="9" customFormat="1" ht="41.65" customHeight="1" thickBot="1" x14ac:dyDescent="0.3">
      <c r="A38" s="47" t="s">
        <v>40</v>
      </c>
      <c r="B38" s="47"/>
      <c r="C38" s="77"/>
      <c r="D38" s="77"/>
      <c r="E38" s="47" t="s">
        <v>41</v>
      </c>
      <c r="F38" s="49"/>
      <c r="G38" s="49"/>
      <c r="H38" s="49"/>
      <c r="I38" s="49"/>
      <c r="J38" s="49"/>
      <c r="K38" s="49"/>
      <c r="L38" s="78" t="s">
        <v>45</v>
      </c>
      <c r="M38" s="78"/>
      <c r="N38" s="78"/>
      <c r="O38" s="78"/>
      <c r="P38" s="32"/>
      <c r="Q38" s="32"/>
      <c r="R38" s="48"/>
      <c r="S38" s="48"/>
    </row>
    <row r="39" spans="1:19" s="9" customFormat="1" ht="36.75" customHeight="1" thickBot="1" x14ac:dyDescent="0.3">
      <c r="A39" s="47"/>
      <c r="B39" s="47"/>
      <c r="C39" s="77"/>
      <c r="D39" s="77"/>
      <c r="E39" s="47"/>
      <c r="F39" s="49"/>
      <c r="G39" s="49"/>
      <c r="H39" s="49"/>
      <c r="I39" s="49"/>
      <c r="J39" s="49"/>
      <c r="K39" s="49"/>
      <c r="L39" s="78"/>
      <c r="M39" s="78"/>
      <c r="N39" s="78"/>
      <c r="O39" s="78"/>
      <c r="P39" s="32"/>
      <c r="Q39" s="32"/>
      <c r="R39" s="48"/>
      <c r="S39" s="48"/>
    </row>
    <row r="40" spans="1:19" s="9" customFormat="1" ht="37.5" customHeight="1" thickBot="1" x14ac:dyDescent="0.3">
      <c r="A40" s="46" t="s">
        <v>31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7" t="s">
        <v>44</v>
      </c>
      <c r="N40" s="47"/>
      <c r="O40" s="47"/>
      <c r="P40" s="47"/>
      <c r="Q40" s="47"/>
      <c r="R40" s="47"/>
      <c r="S40" s="48"/>
    </row>
    <row r="41" spans="1:19" s="9" customFormat="1" ht="32.65" customHeight="1" thickBot="1" x14ac:dyDescent="0.3">
      <c r="A41" s="47" t="s">
        <v>42</v>
      </c>
      <c r="B41" s="47"/>
      <c r="C41" s="49"/>
      <c r="D41" s="49"/>
      <c r="E41" s="49"/>
      <c r="F41" s="47" t="s">
        <v>43</v>
      </c>
      <c r="G41" s="47"/>
      <c r="H41" s="47"/>
      <c r="I41" s="47"/>
      <c r="J41" s="47"/>
      <c r="K41" s="47"/>
      <c r="L41" s="50"/>
      <c r="M41" s="47"/>
      <c r="N41" s="47"/>
      <c r="O41" s="47"/>
      <c r="P41" s="47"/>
      <c r="Q41" s="47"/>
      <c r="R41" s="47"/>
      <c r="S41" s="48"/>
    </row>
    <row r="42" spans="1:19" s="9" customFormat="1" ht="32.65" customHeight="1" thickBot="1" x14ac:dyDescent="0.3">
      <c r="A42" s="47"/>
      <c r="B42" s="47"/>
      <c r="C42" s="49"/>
      <c r="D42" s="49"/>
      <c r="E42" s="49"/>
      <c r="F42" s="47"/>
      <c r="G42" s="47"/>
      <c r="H42" s="47"/>
      <c r="I42" s="47"/>
      <c r="J42" s="47"/>
      <c r="K42" s="47"/>
      <c r="L42" s="50"/>
      <c r="M42" s="47"/>
      <c r="N42" s="47"/>
      <c r="O42" s="47"/>
      <c r="P42" s="47"/>
      <c r="Q42" s="47"/>
      <c r="R42" s="47"/>
      <c r="S42" s="48"/>
    </row>
    <row r="43" spans="1:19" s="9" customFormat="1" x14ac:dyDescent="0.25"/>
    <row r="44" spans="1:19" s="9" customFormat="1" x14ac:dyDescent="0.25"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spans="1:19" s="9" customFormat="1" x14ac:dyDescent="0.25"/>
    <row r="46" spans="1:19" s="9" customFormat="1" x14ac:dyDescent="0.25"/>
    <row r="47" spans="1:19" s="9" customFormat="1" x14ac:dyDescent="0.25"/>
    <row r="48" spans="1:19" s="9" customFormat="1" ht="15" customHeight="1" x14ac:dyDescent="0.25"/>
    <row r="49" s="9" customFormat="1" x14ac:dyDescent="0.25"/>
    <row r="50" s="9" customFormat="1" x14ac:dyDescent="0.25"/>
    <row r="51" s="9" customFormat="1" ht="15.75" customHeight="1" x14ac:dyDescent="0.25"/>
    <row r="52" s="9" customFormat="1" ht="15" customHeight="1" x14ac:dyDescent="0.25"/>
    <row r="53" s="9" customFormat="1" x14ac:dyDescent="0.25"/>
    <row r="54" s="9" customFormat="1" x14ac:dyDescent="0.25"/>
    <row r="55" s="9" customFormat="1" ht="15" customHeight="1" x14ac:dyDescent="0.25"/>
    <row r="56" s="9" customFormat="1" x14ac:dyDescent="0.25"/>
    <row r="57" s="9" customFormat="1" x14ac:dyDescent="0.25"/>
    <row r="58" s="9" customFormat="1" x14ac:dyDescent="0.25"/>
    <row r="59" s="9" customFormat="1" x14ac:dyDescent="0.25"/>
    <row r="60" s="9" customFormat="1" x14ac:dyDescent="0.25"/>
    <row r="61" s="9" customFormat="1" x14ac:dyDescent="0.25"/>
    <row r="62" s="9" customFormat="1" x14ac:dyDescent="0.25"/>
    <row r="63" s="9" customFormat="1" x14ac:dyDescent="0.25"/>
    <row r="64" s="9" customFormat="1" x14ac:dyDescent="0.25"/>
    <row r="65" spans="12:12" s="9" customFormat="1" x14ac:dyDescent="0.25"/>
    <row r="66" spans="12:12" s="9" customFormat="1" x14ac:dyDescent="0.25"/>
    <row r="67" spans="12:12" s="9" customFormat="1" x14ac:dyDescent="0.25"/>
    <row r="68" spans="12:12" s="9" customFormat="1" x14ac:dyDescent="0.25"/>
    <row r="69" spans="12:12" s="9" customFormat="1" x14ac:dyDescent="0.25"/>
    <row r="70" spans="12:12" s="9" customFormat="1" x14ac:dyDescent="0.25"/>
    <row r="71" spans="12:12" s="9" customFormat="1" x14ac:dyDescent="0.25"/>
    <row r="72" spans="12:12" s="9" customFormat="1" x14ac:dyDescent="0.25"/>
    <row r="73" spans="12:12" s="9" customFormat="1" x14ac:dyDescent="0.25"/>
    <row r="74" spans="12:12" s="9" customFormat="1" x14ac:dyDescent="0.25"/>
    <row r="75" spans="12:12" s="9" customFormat="1" x14ac:dyDescent="0.25"/>
    <row r="76" spans="12:12" s="9" customFormat="1" x14ac:dyDescent="0.25"/>
    <row r="77" spans="12:12" s="9" customFormat="1" x14ac:dyDescent="0.25"/>
    <row r="78" spans="12:12" s="9" customFormat="1" x14ac:dyDescent="0.25"/>
    <row r="79" spans="12:12" s="9" customFormat="1" x14ac:dyDescent="0.25"/>
    <row r="80" spans="12:12" s="9" customFormat="1" x14ac:dyDescent="0.25">
      <c r="L80" s="10"/>
    </row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  <row r="87" s="9" customFormat="1" x14ac:dyDescent="0.25"/>
    <row r="88" s="9" customFormat="1" x14ac:dyDescent="0.25"/>
    <row r="89" s="9" customFormat="1" x14ac:dyDescent="0.25"/>
    <row r="90" s="9" customFormat="1" x14ac:dyDescent="0.25"/>
    <row r="91" s="9" customFormat="1" x14ac:dyDescent="0.25"/>
    <row r="92" s="9" customFormat="1" x14ac:dyDescent="0.25"/>
    <row r="93" s="9" customFormat="1" x14ac:dyDescent="0.25"/>
    <row r="94" s="9" customFormat="1" x14ac:dyDescent="0.25"/>
    <row r="95" s="9" customFormat="1" x14ac:dyDescent="0.25"/>
    <row r="96" s="9" customFormat="1" x14ac:dyDescent="0.25"/>
    <row r="97" s="9" customFormat="1" x14ac:dyDescent="0.25"/>
    <row r="98" s="9" customFormat="1" x14ac:dyDescent="0.25"/>
    <row r="99" s="9" customFormat="1" x14ac:dyDescent="0.25"/>
    <row r="100" s="9" customFormat="1" x14ac:dyDescent="0.25"/>
    <row r="101" s="9" customFormat="1" x14ac:dyDescent="0.25"/>
    <row r="102" s="9" customFormat="1" x14ac:dyDescent="0.25"/>
    <row r="103" s="9" customFormat="1" x14ac:dyDescent="0.25"/>
    <row r="104" s="9" customFormat="1" x14ac:dyDescent="0.25"/>
    <row r="105" s="9" customFormat="1" x14ac:dyDescent="0.25"/>
    <row r="106" s="9" customFormat="1" x14ac:dyDescent="0.25"/>
    <row r="107" s="9" customFormat="1" x14ac:dyDescent="0.25"/>
    <row r="108" s="9" customFormat="1" x14ac:dyDescent="0.25"/>
    <row r="109" s="9" customFormat="1" x14ac:dyDescent="0.25"/>
    <row r="110" s="9" customFormat="1" x14ac:dyDescent="0.25"/>
    <row r="111" s="9" customFormat="1" x14ac:dyDescent="0.25"/>
    <row r="112" s="9" customFormat="1" x14ac:dyDescent="0.25"/>
    <row r="113" s="9" customFormat="1" x14ac:dyDescent="0.25"/>
    <row r="114" s="9" customFormat="1" x14ac:dyDescent="0.25"/>
    <row r="115" s="9" customFormat="1" x14ac:dyDescent="0.25"/>
    <row r="116" s="9" customFormat="1" x14ac:dyDescent="0.25"/>
    <row r="117" s="9" customFormat="1" x14ac:dyDescent="0.25"/>
    <row r="118" s="9" customFormat="1" x14ac:dyDescent="0.25"/>
    <row r="119" s="9" customFormat="1" x14ac:dyDescent="0.25"/>
    <row r="120" s="9" customFormat="1" x14ac:dyDescent="0.25"/>
    <row r="121" s="9" customFormat="1" x14ac:dyDescent="0.25"/>
    <row r="122" s="9" customFormat="1" x14ac:dyDescent="0.25"/>
    <row r="123" s="9" customFormat="1" x14ac:dyDescent="0.25"/>
    <row r="124" s="9" customFormat="1" x14ac:dyDescent="0.25"/>
    <row r="125" s="9" customFormat="1" x14ac:dyDescent="0.25"/>
    <row r="126" s="9" customFormat="1" x14ac:dyDescent="0.25"/>
    <row r="127" s="9" customFormat="1" x14ac:dyDescent="0.25"/>
    <row r="128" s="9" customFormat="1" x14ac:dyDescent="0.25"/>
    <row r="129" s="9" customFormat="1" x14ac:dyDescent="0.25"/>
    <row r="130" s="9" customFormat="1" x14ac:dyDescent="0.25"/>
    <row r="131" s="9" customFormat="1" x14ac:dyDescent="0.25"/>
    <row r="132" s="9" customFormat="1" x14ac:dyDescent="0.25"/>
    <row r="133" s="9" customFormat="1" x14ac:dyDescent="0.25"/>
    <row r="134" s="9" customFormat="1" x14ac:dyDescent="0.25"/>
    <row r="135" s="9" customFormat="1" x14ac:dyDescent="0.25"/>
    <row r="136" s="9" customFormat="1" x14ac:dyDescent="0.25"/>
    <row r="137" s="9" customFormat="1" x14ac:dyDescent="0.25"/>
    <row r="138" s="9" customFormat="1" x14ac:dyDescent="0.25"/>
    <row r="139" s="9" customFormat="1" x14ac:dyDescent="0.25"/>
    <row r="140" s="9" customFormat="1" x14ac:dyDescent="0.25"/>
    <row r="141" s="9" customFormat="1" x14ac:dyDescent="0.25"/>
    <row r="142" s="9" customFormat="1" x14ac:dyDescent="0.25"/>
    <row r="143" s="9" customFormat="1" x14ac:dyDescent="0.25"/>
    <row r="144" s="9" customFormat="1" x14ac:dyDescent="0.25"/>
    <row r="145" s="9" customFormat="1" x14ac:dyDescent="0.25"/>
    <row r="146" s="9" customFormat="1" x14ac:dyDescent="0.25"/>
    <row r="147" s="9" customFormat="1" x14ac:dyDescent="0.25"/>
    <row r="148" s="9" customFormat="1" x14ac:dyDescent="0.25"/>
    <row r="149" s="9" customFormat="1" x14ac:dyDescent="0.25"/>
  </sheetData>
  <sheetProtection insertRows="0"/>
  <protectedRanges>
    <protectedRange algorithmName="SHA-512" hashValue="3GnC5MGtI2IwYlh2FOkE7zbdAb4FAzpzIvyxYaqhNs4iOhV2Vq2kRhsLOmOye0ybW+q7IdXL9DR4K0zPSw326w==" saltValue="ouOtn6nw2nWm1ZTHod3W9A==" spinCount="100000" sqref="A4:B5 A6 L7:Q7 S7 A7:D7 F7:J7" name="Rango2"/>
    <protectedRange algorithmName="SHA-512" hashValue="eHN2e9LRWWmcw7GYHhggzb4ZWxu5XZlDnpihFW09lNR7lQYnP8fL/5RSXaXPQvPt4SRVQuhchhS2ESVWncNXVA==" saltValue="Y5ZgMPvg/z9uwOrv4PQk2g==" spinCount="100000" sqref="S1:S3 A1:L3" name="Rango1"/>
    <protectedRange algorithmName="SHA-512" hashValue="3GnC5MGtI2IwYlh2FOkE7zbdAb4FAzpzIvyxYaqhNs4iOhV2Vq2kRhsLOmOye0ybW+q7IdXL9DR4K0zPSw326w==" saltValue="ouOtn6nw2nWm1ZTHod3W9A==" spinCount="100000" sqref="A30 A38:F39 M30:N30 A29:B29 C29:G30 H29:K29 S30 O39:Q39 F41 R38:S39 R41:S42 O42:Q42 A40 C40:K40 A41:E42 L38 H39" name="Rango2_1"/>
  </protectedRanges>
  <mergeCells count="51">
    <mergeCell ref="A17:C18"/>
    <mergeCell ref="A19:C20"/>
    <mergeCell ref="A21:C22"/>
    <mergeCell ref="A23:C24"/>
    <mergeCell ref="A33:K33"/>
    <mergeCell ref="A25:C26"/>
    <mergeCell ref="A1:B3"/>
    <mergeCell ref="S1:S3"/>
    <mergeCell ref="C1:R3"/>
    <mergeCell ref="F7:K7"/>
    <mergeCell ref="M7:R7"/>
    <mergeCell ref="A6:S6"/>
    <mergeCell ref="C4:O4"/>
    <mergeCell ref="C5:O5"/>
    <mergeCell ref="A4:B4"/>
    <mergeCell ref="A5:B5"/>
    <mergeCell ref="S7:S8"/>
    <mergeCell ref="L7:L8"/>
    <mergeCell ref="A7:C8"/>
    <mergeCell ref="D7:E8"/>
    <mergeCell ref="C44:R44"/>
    <mergeCell ref="A9:C10"/>
    <mergeCell ref="E38:E39"/>
    <mergeCell ref="A11:C12"/>
    <mergeCell ref="A13:C14"/>
    <mergeCell ref="A15:C16"/>
    <mergeCell ref="A27:C28"/>
    <mergeCell ref="A38:B39"/>
    <mergeCell ref="A29:S29"/>
    <mergeCell ref="C38:D39"/>
    <mergeCell ref="L38:O39"/>
    <mergeCell ref="R38:S39"/>
    <mergeCell ref="F38:K39"/>
    <mergeCell ref="A32:K32"/>
    <mergeCell ref="M30:S31"/>
    <mergeCell ref="M32:S32"/>
    <mergeCell ref="M35:S35"/>
    <mergeCell ref="M34:S34"/>
    <mergeCell ref="M36:S36"/>
    <mergeCell ref="A30:K31"/>
    <mergeCell ref="A40:L40"/>
    <mergeCell ref="M40:R42"/>
    <mergeCell ref="S40:S42"/>
    <mergeCell ref="A41:B42"/>
    <mergeCell ref="C41:E42"/>
    <mergeCell ref="F41:K42"/>
    <mergeCell ref="L41:L42"/>
    <mergeCell ref="A34:K34"/>
    <mergeCell ref="A35:K35"/>
    <mergeCell ref="A36:K36"/>
    <mergeCell ref="A37:K37"/>
  </mergeCells>
  <pageMargins left="0.23622047244094491" right="0.23622047244094491" top="0" bottom="0" header="0.31496062992125984" footer="0.31496062992125984"/>
  <pageSetup paperSize="17" scale="54" fitToHeight="0" orientation="portrait" r:id="rId1"/>
  <rowBreaks count="1" manualBreakCount="1">
    <brk id="82" max="18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6" operator="equal" id="{14D47167-7722-4641-AE97-5D3D20E3A9B0}">
            <xm:f>Hoja2!$C$21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7" operator="containsText" id="{52C632FF-37C0-4F20-85A2-94BDA0AE8AEB}">
            <xm:f>NOT(ISERROR(SEARCH(Hoja2!$C$18,K9)))</xm:f>
            <xm:f>Hoja2!$C$18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8" operator="containsText" id="{8512C9D1-1E04-4EC1-80F0-DD41EF31015C}">
            <xm:f>NOT(ISERROR(SEARCH(Hoja2!$C$15,K9)))</xm:f>
            <xm:f>Hoja2!$C$15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69" operator="containsText" id="{6F931AF5-DA26-41CB-AD8F-53535501AF33}">
            <xm:f>NOT(ISERROR(SEARCH(Hoja2!$C$14,K9)))</xm:f>
            <xm:f>Hoja2!$C$14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0" operator="containsText" id="{8C36D0BA-7A0B-4196-9D23-DA39153E9675}">
            <xm:f>NOT(ISERROR(SEARCH(Hoja2!$C$11,K9)))</xm:f>
            <xm:f>Hoja2!$C$11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K9:K28 R9:R28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Hoja2!$C$5:$C$9</xm:f>
          </x14:formula1>
          <xm:sqref>O9:O28 H9:H28</xm:sqref>
        </x14:dataValidation>
        <x14:dataValidation type="list" allowBlank="1" showInputMessage="1" showErrorMessage="1" xr:uid="{00000000-0002-0000-0000-000001000000}">
          <x14:formula1>
            <xm:f>Hoja2!$D$4:$G$4</xm:f>
          </x14:formula1>
          <xm:sqref>M9:M28 F9:F28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3"/>
  <sheetViews>
    <sheetView workbookViewId="0">
      <selection activeCell="C14" sqref="C14"/>
    </sheetView>
  </sheetViews>
  <sheetFormatPr baseColWidth="10" defaultColWidth="10.7109375" defaultRowHeight="15" x14ac:dyDescent="0.25"/>
  <cols>
    <col min="1" max="1" width="6.28515625" customWidth="1"/>
    <col min="2" max="2" width="11.5703125" hidden="1" customWidth="1"/>
  </cols>
  <sheetData>
    <row r="3" spans="1:7" hidden="1" x14ac:dyDescent="0.25">
      <c r="D3">
        <v>1</v>
      </c>
      <c r="E3">
        <v>2</v>
      </c>
      <c r="F3">
        <v>3</v>
      </c>
      <c r="G3">
        <v>4</v>
      </c>
    </row>
    <row r="4" spans="1:7" x14ac:dyDescent="0.25">
      <c r="D4" t="s">
        <v>13</v>
      </c>
      <c r="E4" t="s">
        <v>14</v>
      </c>
      <c r="F4" t="s">
        <v>15</v>
      </c>
      <c r="G4" t="s">
        <v>16</v>
      </c>
    </row>
    <row r="5" spans="1:7" x14ac:dyDescent="0.25">
      <c r="A5" s="1" t="s">
        <v>7</v>
      </c>
      <c r="B5">
        <v>5</v>
      </c>
      <c r="C5" t="s">
        <v>8</v>
      </c>
      <c r="D5" s="3">
        <f>$D$3*B5</f>
        <v>5</v>
      </c>
      <c r="E5" s="2">
        <f>E3*B5</f>
        <v>10</v>
      </c>
      <c r="F5" s="2">
        <f>$F$3*B5</f>
        <v>15</v>
      </c>
      <c r="G5" s="2">
        <f>$G$3*B5</f>
        <v>20</v>
      </c>
    </row>
    <row r="6" spans="1:7" x14ac:dyDescent="0.25">
      <c r="A6" s="1" t="s">
        <v>6</v>
      </c>
      <c r="B6">
        <v>4</v>
      </c>
      <c r="C6" t="s">
        <v>9</v>
      </c>
      <c r="D6" s="4">
        <f t="shared" ref="D6:D9" si="0">$D$3*B6</f>
        <v>4</v>
      </c>
      <c r="E6" s="3">
        <f t="shared" ref="E6:E9" si="1">$E$3*B6</f>
        <v>8</v>
      </c>
      <c r="F6" s="2">
        <f t="shared" ref="F6:F9" si="2">$F$3*B6</f>
        <v>12</v>
      </c>
      <c r="G6" s="2">
        <f t="shared" ref="G6:G9" si="3">$G$3*B6</f>
        <v>16</v>
      </c>
    </row>
    <row r="7" spans="1:7" x14ac:dyDescent="0.25">
      <c r="A7" s="1" t="s">
        <v>5</v>
      </c>
      <c r="B7">
        <v>3</v>
      </c>
      <c r="C7" t="s">
        <v>10</v>
      </c>
      <c r="D7" s="4">
        <f t="shared" si="0"/>
        <v>3</v>
      </c>
      <c r="E7" s="3">
        <f t="shared" si="1"/>
        <v>6</v>
      </c>
      <c r="F7" s="2">
        <f t="shared" si="2"/>
        <v>9</v>
      </c>
      <c r="G7" s="2">
        <f t="shared" si="3"/>
        <v>12</v>
      </c>
    </row>
    <row r="8" spans="1:7" x14ac:dyDescent="0.25">
      <c r="A8" s="1" t="s">
        <v>4</v>
      </c>
      <c r="B8">
        <v>2</v>
      </c>
      <c r="C8" t="s">
        <v>11</v>
      </c>
      <c r="D8" s="4">
        <f t="shared" si="0"/>
        <v>2</v>
      </c>
      <c r="E8" s="4">
        <f t="shared" si="1"/>
        <v>4</v>
      </c>
      <c r="F8" s="3">
        <f t="shared" si="2"/>
        <v>6</v>
      </c>
      <c r="G8" s="3">
        <f t="shared" si="3"/>
        <v>8</v>
      </c>
    </row>
    <row r="9" spans="1:7" x14ac:dyDescent="0.25">
      <c r="A9" s="1" t="s">
        <v>3</v>
      </c>
      <c r="B9">
        <v>1</v>
      </c>
      <c r="C9" t="s">
        <v>12</v>
      </c>
      <c r="D9" s="4">
        <f t="shared" si="0"/>
        <v>1</v>
      </c>
      <c r="E9" s="4">
        <f t="shared" si="1"/>
        <v>2</v>
      </c>
      <c r="F9" s="4">
        <f t="shared" si="2"/>
        <v>3</v>
      </c>
      <c r="G9" s="4">
        <f t="shared" si="3"/>
        <v>4</v>
      </c>
    </row>
    <row r="11" spans="1:7" ht="30" x14ac:dyDescent="0.25">
      <c r="B11">
        <v>1</v>
      </c>
      <c r="C11" s="5" t="s">
        <v>24</v>
      </c>
    </row>
    <row r="12" spans="1:7" ht="30" x14ac:dyDescent="0.25">
      <c r="B12">
        <v>2</v>
      </c>
      <c r="C12" s="5" t="s">
        <v>24</v>
      </c>
    </row>
    <row r="13" spans="1:7" ht="30" x14ac:dyDescent="0.25">
      <c r="B13">
        <v>3</v>
      </c>
      <c r="C13" s="5" t="s">
        <v>24</v>
      </c>
    </row>
    <row r="14" spans="1:7" ht="30" x14ac:dyDescent="0.25">
      <c r="B14">
        <v>4</v>
      </c>
      <c r="C14" s="5" t="s">
        <v>25</v>
      </c>
    </row>
    <row r="15" spans="1:7" ht="30" x14ac:dyDescent="0.25">
      <c r="B15">
        <v>5</v>
      </c>
      <c r="C15" s="5" t="s">
        <v>19</v>
      </c>
    </row>
    <row r="16" spans="1:7" ht="30" x14ac:dyDescent="0.25">
      <c r="B16">
        <v>6</v>
      </c>
      <c r="C16" s="5" t="s">
        <v>19</v>
      </c>
    </row>
    <row r="17" spans="2:3" ht="30" x14ac:dyDescent="0.25">
      <c r="B17">
        <v>8</v>
      </c>
      <c r="C17" s="5" t="s">
        <v>19</v>
      </c>
    </row>
    <row r="18" spans="2:3" ht="30" x14ac:dyDescent="0.25">
      <c r="B18">
        <v>9</v>
      </c>
      <c r="C18" s="5" t="s">
        <v>27</v>
      </c>
    </row>
    <row r="19" spans="2:3" ht="30" x14ac:dyDescent="0.25">
      <c r="B19">
        <v>10</v>
      </c>
      <c r="C19" s="5" t="s">
        <v>27</v>
      </c>
    </row>
    <row r="20" spans="2:3" ht="30" x14ac:dyDescent="0.25">
      <c r="B20">
        <v>12</v>
      </c>
      <c r="C20" s="5" t="s">
        <v>27</v>
      </c>
    </row>
    <row r="21" spans="2:3" ht="30" x14ac:dyDescent="0.25">
      <c r="B21">
        <v>15</v>
      </c>
      <c r="C21" s="5" t="s">
        <v>26</v>
      </c>
    </row>
    <row r="22" spans="2:3" ht="30" x14ac:dyDescent="0.25">
      <c r="B22">
        <v>16</v>
      </c>
      <c r="C22" s="5" t="s">
        <v>26</v>
      </c>
    </row>
    <row r="23" spans="2:3" ht="30" x14ac:dyDescent="0.25">
      <c r="B23">
        <v>20</v>
      </c>
      <c r="C23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JSA</vt:lpstr>
      <vt:lpstr>Hoja2</vt:lpstr>
      <vt:lpstr>JSA!Área_de_impresión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Deyanira Arias Jimenez</dc:creator>
  <cp:lastModifiedBy>Luz Maria Cervantez Luna</cp:lastModifiedBy>
  <cp:lastPrinted>2026-01-20T04:24:23Z</cp:lastPrinted>
  <dcterms:created xsi:type="dcterms:W3CDTF">2021-08-13T16:10:57Z</dcterms:created>
  <dcterms:modified xsi:type="dcterms:W3CDTF">2026-03-06T20:19:40Z</dcterms:modified>
</cp:coreProperties>
</file>